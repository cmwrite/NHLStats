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E16F8B81-1DEF-4B53-95AE-55146CAF7BFB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 (10-12-26)" sheetId="54" r:id="rId16"/>
    <sheet name="Standings (10-13-26)" sheetId="55" r:id="rId17"/>
    <sheet name="Standings (10-14-26)" sheetId="56" r:id="rId18"/>
    <sheet name="Standings (10-15-26)" sheetId="57" r:id="rId19"/>
    <sheet name="Standings (10-16-26)" sheetId="58" r:id="rId20"/>
    <sheet name="Standings (10-17-26)" sheetId="60" r:id="rId21"/>
    <sheet name="Standings (10-18-26)" sheetId="61" r:id="rId22"/>
    <sheet name="Standings (10-19-26)" sheetId="62" r:id="rId23"/>
    <sheet name="Standings (10-20-26)" sheetId="63" r:id="rId24"/>
    <sheet name="Standings (10-21-26)" sheetId="64" r:id="rId25"/>
    <sheet name="Standings (10-22-26)" sheetId="65" r:id="rId26"/>
    <sheet name="Standings" sheetId="4" r:id="rId27"/>
    <sheet name="Anaheim_Ducks" sheetId="5" r:id="rId28"/>
    <sheet name="Boston_Bruins" sheetId="7" r:id="rId29"/>
    <sheet name="Buffalo_Sabres" sheetId="8" r:id="rId30"/>
    <sheet name="Calgary_Flames" sheetId="9" r:id="rId31"/>
    <sheet name="Carolina_Hurricanes" sheetId="10" r:id="rId32"/>
    <sheet name="Chicago_Blackhawks" sheetId="11" r:id="rId33"/>
    <sheet name="Colorado_Avalanche" sheetId="12" r:id="rId34"/>
    <sheet name="Columbus_Blue_Jackets" sheetId="13" r:id="rId35"/>
    <sheet name="Dallas_Stars" sheetId="14" r:id="rId36"/>
    <sheet name="Detroit_Red_Wings" sheetId="15" r:id="rId37"/>
    <sheet name="Edmonton_Oilers" sheetId="16" r:id="rId38"/>
    <sheet name="Florida_Panthers" sheetId="17" r:id="rId39"/>
    <sheet name="Los_Angeles_Kings" sheetId="18" r:id="rId40"/>
    <sheet name="Minnesota_Wild" sheetId="19" r:id="rId41"/>
    <sheet name="Montreal_Canadiens" sheetId="20" r:id="rId42"/>
    <sheet name="Nashville_Predators" sheetId="21" r:id="rId43"/>
    <sheet name="New_Jersey_Devils" sheetId="22" r:id="rId44"/>
    <sheet name="New_York_Islanders" sheetId="23" r:id="rId45"/>
    <sheet name="New_York_Rangers" sheetId="24" r:id="rId46"/>
    <sheet name="Ottawa_Senators" sheetId="25" r:id="rId47"/>
    <sheet name="Philadelphia_Flyers" sheetId="26" r:id="rId48"/>
    <sheet name="Pittsburgh_Penguins" sheetId="27" r:id="rId49"/>
    <sheet name="San_Jose_Sharks" sheetId="28" r:id="rId50"/>
    <sheet name="Seattle_Kraken" sheetId="29" r:id="rId51"/>
    <sheet name="St_Louis_Blues" sheetId="30" r:id="rId52"/>
    <sheet name="Tampa_Bay_Lightning" sheetId="31" r:id="rId53"/>
    <sheet name="Toronto_Maple_Leafs" sheetId="32" r:id="rId54"/>
    <sheet name="Utah_Mammoth" sheetId="6" r:id="rId55"/>
    <sheet name="Vancouver_Canucks" sheetId="33" r:id="rId56"/>
    <sheet name="Vegas_Golden_Knights" sheetId="34" r:id="rId57"/>
    <sheet name="Washington_Capitals" sheetId="35" r:id="rId58"/>
    <sheet name="Winnipeg_Jets" sheetId="36" r:id="rId5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 s="1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D81" i="21"/>
  <c r="AD77" i="21"/>
  <c r="AD42" i="21"/>
  <c r="AE58" i="21"/>
  <c r="Q86" i="21"/>
  <c r="AA86" i="19" a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S86" i="8"/>
  <c r="N86" i="32"/>
  <c r="J11" i="4" s="1"/>
  <c r="AA86" i="26" a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D38" i="4" s="1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6" a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R86" i="32"/>
  <c r="Q86" i="32"/>
  <c r="AD85" i="20"/>
  <c r="AD82" i="20"/>
  <c r="AA86" i="20" a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T86" i="25"/>
  <c r="W86" i="25"/>
  <c r="AB86" i="25" a="1"/>
  <c r="AA87" i="25" s="1"/>
  <c r="R9" i="4" s="1"/>
  <c r="Y86" i="25"/>
  <c r="R86" i="25"/>
  <c r="AF86" i="25" a="1"/>
  <c r="S86" i="25"/>
  <c r="P86" i="25"/>
  <c r="Q86" i="25"/>
  <c r="U86" i="25"/>
  <c r="Z86" i="25"/>
  <c r="V86" i="25"/>
  <c r="AD86" i="25" a="1"/>
  <c r="I86" i="25"/>
  <c r="C9" i="4" s="1"/>
  <c r="G9" i="4" s="1"/>
  <c r="AF86" i="14" a="1"/>
  <c r="AD86" i="14" a="1"/>
  <c r="U86" i="14"/>
  <c r="AB85" i="14"/>
  <c r="AB86" i="14" s="1" a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V86" i="30"/>
  <c r="AF86" i="30" a="1"/>
  <c r="K86" i="30"/>
  <c r="N85" i="30"/>
  <c r="N86" i="30" s="1"/>
  <c r="J30" i="4" s="1"/>
  <c r="M86" i="30"/>
  <c r="I30" i="4" s="1"/>
  <c r="AD86" i="36" a="1"/>
  <c r="K86" i="36"/>
  <c r="I86" i="36"/>
  <c r="C32" i="4" s="1"/>
  <c r="J86" i="36"/>
  <c r="D32" i="4" s="1"/>
  <c r="P86" i="36"/>
  <c r="AB85" i="36"/>
  <c r="AB86" i="36" s="1" a="1"/>
  <c r="AA87" i="36" s="1"/>
  <c r="R32" i="4" s="1"/>
  <c r="Z86" i="36"/>
  <c r="X87" i="36" s="1"/>
  <c r="N32" i="4" s="1"/>
  <c r="AF86" i="36" a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D86" i="35" a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A87" i="35" s="1"/>
  <c r="R21" i="4" s="1"/>
  <c r="AE86" i="35" a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E86" i="15" a="1"/>
  <c r="J86" i="15"/>
  <c r="D6" i="4" s="1"/>
  <c r="L86" i="15"/>
  <c r="E6" i="4" s="1"/>
  <c r="Q86" i="15"/>
  <c r="R86" i="15"/>
  <c r="AF86" i="15" a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A87" i="15" s="1"/>
  <c r="R6" i="4" s="1"/>
  <c r="X86" i="15"/>
  <c r="AD86" i="21" a="1"/>
  <c r="AF86" i="28" a="1"/>
  <c r="AB85" i="28"/>
  <c r="AB86" i="28" s="1" a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U86" i="28"/>
  <c r="P86" i="28"/>
  <c r="AE86" i="28" a="1"/>
  <c r="V86" i="28"/>
  <c r="K86" i="28"/>
  <c r="S86" i="28"/>
  <c r="W86" i="28"/>
  <c r="Z86" i="28"/>
  <c r="X86" i="28"/>
  <c r="Y86" i="28"/>
  <c r="AF86" i="6" a="1"/>
  <c r="AD86" i="6" a="1"/>
  <c r="M86" i="6"/>
  <c r="I31" i="4" s="1"/>
  <c r="AB85" i="6"/>
  <c r="AB86" i="6" s="1" a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N85" i="6"/>
  <c r="N86" i="6" s="1"/>
  <c r="J31" i="4" s="1"/>
  <c r="X86" i="6"/>
  <c r="X87" i="6" s="1"/>
  <c r="N31" i="4" s="1"/>
  <c r="W86" i="6"/>
  <c r="AD86" i="9" a="1"/>
  <c r="AB86" i="9" a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X86" i="9"/>
  <c r="Z86" i="9"/>
  <c r="AE86" i="29" a="1"/>
  <c r="AB85" i="29"/>
  <c r="R86" i="29"/>
  <c r="S86" i="29"/>
  <c r="L85" i="29"/>
  <c r="L86" i="29" s="1"/>
  <c r="E40" i="4" s="1"/>
  <c r="AF86" i="29" a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P86" i="21"/>
  <c r="Y86" i="21"/>
  <c r="N85" i="21"/>
  <c r="N86" i="21" s="1"/>
  <c r="J29" i="4" s="1"/>
  <c r="O86" i="21"/>
  <c r="U86" i="21"/>
  <c r="V86" i="21"/>
  <c r="W86" i="21"/>
  <c r="AF86" i="19" a="1"/>
  <c r="AD86" i="19" a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X86" i="19"/>
  <c r="Y86" i="19"/>
  <c r="Q86" i="19"/>
  <c r="M86" i="19"/>
  <c r="I28" i="4" s="1"/>
  <c r="K85" i="19"/>
  <c r="K86" i="19" s="1"/>
  <c r="G28" i="4" s="1"/>
  <c r="AD86" i="31" a="1"/>
  <c r="M86" i="31"/>
  <c r="I10" i="4" s="1"/>
  <c r="R86" i="31"/>
  <c r="AB85" i="31"/>
  <c r="AB86" i="31" s="1" a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W86" i="31"/>
  <c r="Y86" i="31"/>
  <c r="AF86" i="31" a="1"/>
  <c r="P86" i="31"/>
  <c r="S86" i="31"/>
  <c r="K85" i="31"/>
  <c r="K86" i="31" s="1"/>
  <c r="AD86" i="22" a="1"/>
  <c r="N86" i="22"/>
  <c r="J16" i="4" s="1"/>
  <c r="AE86" i="22" a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T86" i="22"/>
  <c r="O86" i="22"/>
  <c r="Q86" i="22"/>
  <c r="R86" i="22"/>
  <c r="AB86" i="22" a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B86" i="13" a="1"/>
  <c r="AA87" i="13" s="1"/>
  <c r="R15" i="4" s="1"/>
  <c r="AD86" i="13" a="1"/>
  <c r="AE86" i="13" a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E86" i="8" a="1"/>
  <c r="P86" i="8"/>
  <c r="T86" i="8"/>
  <c r="R87" i="8" s="1"/>
  <c r="L5" i="4" s="1"/>
  <c r="AB85" i="8"/>
  <c r="AB86" i="8" s="1" a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V86" i="8"/>
  <c r="AF86" i="12" a="1"/>
  <c r="AD86" i="12" a="1"/>
  <c r="P86" i="12"/>
  <c r="R86" i="12"/>
  <c r="I86" i="12"/>
  <c r="C26" i="4" s="1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S86" i="12"/>
  <c r="Z86" i="12"/>
  <c r="J86" i="12"/>
  <c r="D26" i="4" s="1"/>
  <c r="Y86" i="12"/>
  <c r="K86" i="12"/>
  <c r="L86" i="12"/>
  <c r="E26" i="4" s="1"/>
  <c r="AF86" i="18" a="1"/>
  <c r="AD86" i="18" a="1"/>
  <c r="AB85" i="18"/>
  <c r="AB86" i="18" s="1" a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X86" i="18"/>
  <c r="Y86" i="18"/>
  <c r="AF86" i="23" a="1"/>
  <c r="AD86" i="23" a="1"/>
  <c r="AB85" i="23"/>
  <c r="AB86" i="23" s="1" a="1"/>
  <c r="AA87" i="23" s="1"/>
  <c r="R17" i="4" s="1"/>
  <c r="O86" i="23"/>
  <c r="G17" i="4"/>
  <c r="Q86" i="23"/>
  <c r="AE86" i="23" a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D86" i="26" a="1"/>
  <c r="G19" i="4"/>
  <c r="AB85" i="26"/>
  <c r="AE86" i="26" a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P86" i="27"/>
  <c r="O86" i="27"/>
  <c r="J86" i="27"/>
  <c r="D20" i="4" s="1"/>
  <c r="AD86" i="27" a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U86" i="27"/>
  <c r="U87" i="27" s="1"/>
  <c r="M20" i="4" s="1"/>
  <c r="Z86" i="27"/>
  <c r="AF86" i="34" a="1"/>
  <c r="P86" i="34"/>
  <c r="S86" i="34"/>
  <c r="AB86" i="34" a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Q86" i="34"/>
  <c r="Z86" i="34"/>
  <c r="AE86" i="34" a="1"/>
  <c r="V86" i="34"/>
  <c r="U86" i="34"/>
  <c r="J86" i="34"/>
  <c r="D42" i="4" s="1"/>
  <c r="G42" i="4"/>
  <c r="Y86" i="34"/>
  <c r="T86" i="34"/>
  <c r="AE86" i="11" a="1"/>
  <c r="AD86" i="11" a="1"/>
  <c r="P86" i="11"/>
  <c r="T86" i="11"/>
  <c r="Z86" i="11"/>
  <c r="X87" i="11" s="1"/>
  <c r="N25" i="4" s="1"/>
  <c r="AB85" i="11"/>
  <c r="AB86" i="11" s="1" a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O86" i="11"/>
  <c r="AF86" i="16" a="1"/>
  <c r="AE86" i="16" a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F86" i="33" a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A87" i="7" s="1"/>
  <c r="R4" i="4" s="1"/>
  <c r="AF86" i="7" a="1"/>
  <c r="J86" i="7"/>
  <c r="D4" i="4" s="1"/>
  <c r="AD86" i="7" a="1"/>
  <c r="U86" i="7"/>
  <c r="U87" i="7" s="1"/>
  <c r="M4" i="4" s="1"/>
  <c r="Z86" i="7"/>
  <c r="S86" i="7"/>
  <c r="AE86" i="7" a="1"/>
  <c r="T86" i="7"/>
  <c r="Q86" i="7"/>
  <c r="O87" i="7" s="1"/>
  <c r="K4" i="4" s="1"/>
  <c r="R86" i="7"/>
  <c r="Y86" i="7"/>
  <c r="I86" i="7"/>
  <c r="C4" i="4" s="1"/>
  <c r="G4" i="4" s="1"/>
  <c r="AD86" i="24" a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C18" i="4" s="1"/>
  <c r="G18" i="4" s="1"/>
  <c r="AF86" i="24" a="1"/>
  <c r="AE86" i="24" a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W86" i="32"/>
  <c r="O86" i="32"/>
  <c r="Y86" i="32"/>
  <c r="X87" i="32" s="1"/>
  <c r="N11" i="4" s="1"/>
  <c r="I86" i="32"/>
  <c r="C11" i="4" s="1"/>
  <c r="AD86" i="32" a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Q86" i="20"/>
  <c r="W86" i="20"/>
  <c r="AD86" i="20" a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S86" i="20"/>
  <c r="N86" i="20"/>
  <c r="J8" i="4" s="1"/>
  <c r="AD86" i="10" a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Y86" i="10"/>
  <c r="X86" i="10"/>
  <c r="T86" i="10"/>
  <c r="R87" i="10" s="1"/>
  <c r="L14" i="4" s="1"/>
  <c r="AF86" i="10" a="1"/>
  <c r="O86" i="10"/>
  <c r="AB85" i="17"/>
  <c r="AB86" i="17" s="1" a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Z86" i="17"/>
  <c r="X87" i="17" s="1"/>
  <c r="N7" i="4" s="1"/>
  <c r="AD86" i="17" a="1"/>
  <c r="W86" i="17"/>
  <c r="V86" i="17"/>
  <c r="T86" i="17"/>
  <c r="AF86" i="17" a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R86" i="5"/>
  <c r="AB85" i="5"/>
  <c r="AB86" i="5" s="1" a="1"/>
  <c r="AA87" i="5" s="1"/>
  <c r="R35" i="4" s="1"/>
  <c r="AE86" i="5" a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E86" i="36" a="1"/>
  <c r="F31" i="4"/>
  <c r="E9" i="4"/>
  <c r="I42" i="4"/>
  <c r="H42" i="4" s="1"/>
  <c r="E30" i="4"/>
  <c r="C15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X87" i="7" l="1"/>
  <c r="N4" i="4" s="1"/>
  <c r="R87" i="12"/>
  <c r="L26" i="4" s="1"/>
  <c r="R87" i="20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A87" i="29" s="1"/>
  <c r="R40" i="4" s="1"/>
  <c r="AB86" i="21" a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A87" i="26" s="1"/>
  <c r="R19" i="4" s="1"/>
  <c r="O87" i="27"/>
  <c r="K20" i="4" s="1"/>
  <c r="R86" i="27"/>
  <c r="R87" i="27" s="1"/>
  <c r="L20" i="4" s="1"/>
  <c r="AB86" i="27" a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A87" i="33" s="1"/>
  <c r="R41" i="4" s="1"/>
  <c r="R87" i="7"/>
  <c r="L4" i="4" s="1"/>
  <c r="AB86" i="24" a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<sst xmlns="http://schemas.openxmlformats.org/spreadsheetml/2006/main" count="16954" uniqueCount="231">
  <si>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</si>
  <si>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</si>
  <si>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</si>
  <si>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</si>
  <si>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</si>
  <si>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</si>
  <si>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</si>
  <si>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</si>
  <si>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</si>
  <si>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</si>
  <si>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</si>
  <si>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</si>
  <si>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</si>
  <si>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</si>
  <si>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</si>
  <si>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</si>
  <si>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</si>
  <si>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</si>
  <si>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</si>
  <si>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</si>
  <si>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</si>
  <si>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</si>
  <si>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</si>
  <si>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</si>
  <si>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</si>
  <si>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</si>
  <si>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</si>
  <si>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</si>
  <si>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</si>
  <si>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</si>
  <si>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</si>
  <si>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</si>
  <si>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</si>
  <si>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</si>
  <si>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</si>
  <si>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</si>
  <si>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</si>
  <si>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</si>
  <si>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</si>
  <si>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</si>
  <si>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</si>
  <si>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</si>
  <si>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</si>
  <si>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</si>
  <si>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</si>
  <si>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</si>
  <si>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</si>
  <si>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</si>
  <si>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</si>
  <si>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</si>
  <si>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</si>
  <si>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</si>
  <si>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</si>
  <si>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</si>
  <si>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</si>
  <si>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</si>
  <si>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</si>
  <si>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</si>
  <si>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</si>
  <si>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</si>
  <si>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</si>
  <si>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</si>
  <si>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</si>
  <si>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</si>
  <si>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</si>
  <si>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</si>
  <si>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</si>
  <si>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</si>
  <si>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</si>
  <si>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</si>
  <si>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</si>
  <si>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</si>
  <si>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</si>
  <si>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</si>
  <si>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</si>
  <si>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</si>
  <si>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</si>
  <si>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</si>
  <si>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</si>
  <si>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</si>
  <si>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</si>
  <si>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</si>
  <si>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</si>
  <si>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</si>
  <si>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</si>
  <si>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</si>
  <si>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</si>
  <si>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</si>
  <si>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</si>
  <si>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</si>
  <si>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</si>
  <si>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</si>
  <si>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</si>
  <si>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</si>
  <si>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</si>
  <si>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</si>
  <si>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</si>
  <si>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</si>
  <si>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</si>
  <si>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</si>
  <si>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</si>
  <si>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</si>
  <si>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</si>
  <si>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</si>
  <si>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</si>
  <si>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</si>
  <si>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</si>
  <si>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</si>
  <si>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</si>
  <si>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</si>
  <si>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</si>
  <si>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</si>
  <si>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</si>
  <si>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</si>
  <si>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</si>
  <si>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</si>
  <si>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</si>
  <si>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</si>
  <si>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</si>
  <si>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</si>
  <si>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</si>
  <si>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</si>
  <si>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</si>
  <si>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</si>
  <si>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</si>
  <si>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</si>
  <si>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</si>
  <si>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</si>
  <si>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</si>
  <si>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</si>
  <si>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</si>
  <si>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</si>
  <si>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</si>
  <si>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</si>
  <si>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</si>
  <si>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</si>
  <si>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</si>
  <si>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</si>
  <si>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</si>
  <si>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</si>
  <si>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</si>
  <si>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</si>
  <si>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</si>
  <si>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</si>
  <si>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</si>
  <si>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</si>
  <si>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</si>
  <si>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</si>
  <si>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</si>
  <si>
    <t>4-0-0</t>
  </si>
  <si>
    <t>W5</t>
  </si>
  <si>
    <t>5-1-1</t>
  </si>
  <si>
    <t>5-2-0</t>
  </si>
  <si>
    <t>0-5-2</t>
  </si>
  <si>
    <t>L7</t>
  </si>
  <si>
    <t>2-5-0</t>
  </si>
  <si>
    <t>3-3-0</t>
  </si>
  <si>
    <t>2-2-2</t>
  </si>
  <si>
    <t>3-3-1</t>
  </si>
  <si>
    <t>1-1-2</t>
  </si>
  <si>
    <t>1-3-2</t>
  </si>
  <si>
    <t>3-1-2</t>
  </si>
  <si>
    <t>3-2-2</t>
  </si>
  <si>
    <t>W6</t>
  </si>
  <si>
    <t>6-1-1</t>
  </si>
  <si>
    <t>5-0-0</t>
  </si>
  <si>
    <t>6-2-0</t>
  </si>
  <si>
    <t>L8</t>
  </si>
  <si>
    <t>0-5-3</t>
  </si>
  <si>
    <t>2-3-1</t>
  </si>
  <si>
    <t>4-2-1</t>
  </si>
  <si>
    <t>5-0-1</t>
  </si>
  <si>
    <t>2-6-0</t>
  </si>
  <si>
    <t>4-3-0</t>
  </si>
  <si>
    <t>4-3-1</t>
  </si>
  <si>
    <t>2-3-2</t>
  </si>
  <si>
    <t>4-2-2</t>
  </si>
  <si>
    <t>3-3-2</t>
  </si>
  <si>
    <t>6-3-0</t>
  </si>
  <si>
    <t>0-4-1</t>
  </si>
  <si>
    <t>0-6-2</t>
  </si>
  <si>
    <t>L9</t>
  </si>
  <si>
    <t>0-6-3</t>
  </si>
  <si>
    <t>3-5-0</t>
  </si>
  <si>
    <t>5-2-1</t>
  </si>
  <si>
    <t>2-2-3</t>
  </si>
  <si>
    <t>4-1-2</t>
  </si>
  <si>
    <t>1-6-0</t>
  </si>
  <si>
    <t>1-4-1</t>
  </si>
  <si>
    <t>2-6-1</t>
  </si>
  <si>
    <t>7-2-0</t>
  </si>
  <si>
    <t>3-4-1</t>
  </si>
  <si>
    <t>4-3-2</t>
  </si>
  <si>
    <t>5-2-2</t>
  </si>
  <si>
    <t>3-4-2</t>
  </si>
  <si>
    <t>W7</t>
  </si>
  <si>
    <t>7-1-1</t>
  </si>
  <si>
    <t>4-4-0</t>
  </si>
  <si>
    <t>6-3-1</t>
  </si>
  <si>
    <t>1-2-2</t>
  </si>
  <si>
    <t>1-6-2</t>
  </si>
  <si>
    <t>1-6-3</t>
  </si>
  <si>
    <t>3-5-1</t>
  </si>
  <si>
    <t>5-3-0</t>
  </si>
  <si>
    <t>3-6-0</t>
  </si>
  <si>
    <t>3-2-3</t>
  </si>
  <si>
    <t>5-3-1</t>
  </si>
  <si>
    <t>1-5-1</t>
  </si>
  <si>
    <t>2-7-1</t>
  </si>
  <si>
    <t>8-2-0</t>
  </si>
  <si>
    <t>7-2-1</t>
  </si>
  <si>
    <t>3-4-0</t>
  </si>
  <si>
    <t>6-2-1</t>
  </si>
  <si>
    <t>4-4-2</t>
  </si>
  <si>
    <t>6-0-0</t>
  </si>
  <si>
    <t>2-5-3</t>
  </si>
  <si>
    <t>3-6-1</t>
  </si>
  <si>
    <t>7-3-0</t>
  </si>
  <si>
    <t>4-4-1</t>
  </si>
  <si>
    <t>3-3-3</t>
  </si>
  <si>
    <t>5-3-2</t>
  </si>
  <si>
    <t>6-1-0</t>
  </si>
  <si>
    <t>5-4-0</t>
  </si>
  <si>
    <t>5-4-1</t>
  </si>
  <si>
    <t>6-2-2</t>
  </si>
  <si>
    <t>2-4-1</t>
  </si>
  <si>
    <t>4-5-0</t>
  </si>
  <si>
    <t>1-4-2</t>
  </si>
  <si>
    <t>1-8-1</t>
  </si>
  <si>
    <t>2-6-2</t>
  </si>
  <si>
    <t>3-5-2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</si>
</sst>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0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28" sqref="B28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 t="s">
        <v>32</v>
      </c>
    </row>
    <row r="18" spans="1:2" outlineLevel="1" x14ac:dyDescent="0.3">
      <c r="A18" s="13">
        <v>46307</v>
      </c>
      <c r="B18" s="12" t="s">
        <v>32</v>
      </c>
    </row>
    <row r="19" spans="1:2" outlineLevel="1" x14ac:dyDescent="0.3">
      <c r="A19" s="13">
        <v>46308</v>
      </c>
      <c r="B19" s="12" t="s">
        <v>32</v>
      </c>
    </row>
    <row r="20" spans="1:2" outlineLevel="1" x14ac:dyDescent="0.3">
      <c r="A20" s="13">
        <v>46309</v>
      </c>
      <c r="B20" s="12" t="s">
        <v>32</v>
      </c>
    </row>
    <row r="21" spans="1:2" outlineLevel="1" x14ac:dyDescent="0.3">
      <c r="A21" s="13">
        <v>46310</v>
      </c>
      <c r="B21" s="12" t="s">
        <v>32</v>
      </c>
    </row>
    <row r="22" spans="1:2" outlineLevel="1" x14ac:dyDescent="0.3">
      <c r="A22" s="13">
        <v>46311</v>
      </c>
      <c r="B22" s="12" t="s">
        <v>32</v>
      </c>
    </row>
    <row r="23" spans="1:2" outlineLevel="1" x14ac:dyDescent="0.3">
      <c r="A23" s="13">
        <v>46312</v>
      </c>
      <c r="B23" s="12" t="s">
        <v>32</v>
      </c>
    </row>
    <row r="24" spans="1:2" outlineLevel="1" x14ac:dyDescent="0.3">
      <c r="A24" s="13">
        <v>46313</v>
      </c>
      <c r="B24" s="12" t="s">
        <v>32</v>
      </c>
    </row>
    <row r="25" spans="1:2" outlineLevel="1" x14ac:dyDescent="0.3">
      <c r="A25" s="13">
        <v>46314</v>
      </c>
      <c r="B25" s="12" t="s">
        <v>32</v>
      </c>
    </row>
    <row r="26" spans="1:2" outlineLevel="1" x14ac:dyDescent="0.3">
      <c r="A26" s="13">
        <v>46315</v>
      </c>
      <c r="B26" s="12" t="s">
        <v>32</v>
      </c>
    </row>
    <row r="27" spans="1:2" outlineLevel="1" x14ac:dyDescent="0.3">
      <c r="A27" s="13">
        <v>46316</v>
      </c>
      <c r="B27" s="12" t="s">
        <v>32</v>
      </c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  <hyperlink ref="B17" location="'Standings (10-11-26)'!A1" display="Standings" xr:uid="{0C4F0BC2-220A-4DDA-86E1-9048D7773429}"/>
    <hyperlink ref="B18" location="'Standings (10-12-26)'!A1" display="Standings" xr:uid="{48DC1F97-03E5-480F-9CCE-FB12B5D50707}"/>
    <hyperlink ref="B19" location="'Standings (10-13-26)'!A1" display="Standings" xr:uid="{D4990A16-95BA-4139-8872-B329463E8F33}"/>
    <hyperlink ref="B20" location="'Standings (10-14-26)'!A1" display="Standings" xr:uid="{C458471D-4BB6-4E25-8390-DCC27984051F}"/>
    <hyperlink ref="B21" location="'Standings (10-15-26)'!A1" display="Standings" xr:uid="{35BB5775-14BC-4E0F-86A7-5ED0AD10B364}"/>
    <hyperlink ref="B22" location="'Standings (10-16-26)'!A1" display="Standings" xr:uid="{0E10BD11-C61C-4198-A8FC-EED6EDBDAC88}"/>
    <hyperlink ref="B23" location="'Standings (10-17-26)'!A1" display="Standings" xr:uid="{3FEACC28-9930-46BA-88C7-0AD7563F9CB1}"/>
    <hyperlink ref="B24" location="'Standings (10-18-26)'!A1" display="Standings" xr:uid="{10D1A57D-5380-4767-8F6F-55EB752472CC}"/>
    <hyperlink ref="B25" location="'Standings (10-19-26)'!A1" display="Standings" xr:uid="{695E21C3-8746-4DBD-90E6-74F8FC1AF6D6}"/>
    <hyperlink ref="B26" location="'Standings (10-20-26)'!A1" display="Standings" xr:uid="{AE22196D-A141-4B0C-85DA-C1026B24F6AF}"/>
    <hyperlink ref="B27" location="'Standings (10-21-26)'!A1" display="Standings" xr:uid="{9B0BA4B1-CA00-4527-97CD-4631741D41BD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104</v>
      </c>
      <c r="L17" s="1" t="s">
        <v>98</v>
      </c>
      <c r="M17" s="1" t="s">
        <v>120</v>
      </c>
      <c r="N17" s="1" t="s">
        <v>114</v>
      </c>
      <c r="O17" s="31">
        <v>14</v>
      </c>
      <c r="P17" s="20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31BF-F782-4E34-8415-BF730B7C66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3</v>
      </c>
      <c r="H5" s="20">
        <v>4</v>
      </c>
      <c r="I5" s="20">
        <v>0</v>
      </c>
      <c r="J5" s="30">
        <v>0</v>
      </c>
      <c r="K5" s="29" t="s">
        <v>114</v>
      </c>
      <c r="L5" s="1" t="s">
        <v>98</v>
      </c>
      <c r="M5" s="1" t="s">
        <v>95</v>
      </c>
      <c r="N5" s="1" t="s">
        <v>105</v>
      </c>
      <c r="O5" s="31">
        <v>20</v>
      </c>
      <c r="P5" s="20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2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105</v>
      </c>
      <c r="M35" s="1" t="s">
        <v>114</v>
      </c>
      <c r="N35" s="1" t="s">
        <v>135</v>
      </c>
      <c r="O35" s="31">
        <v>25</v>
      </c>
      <c r="P35" s="20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1611B18-308A-49E7-9584-1247266B2F3F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432B-3459-4BBB-B966-E9E80CC17F1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6</v>
      </c>
      <c r="C9" s="1">
        <v>3</v>
      </c>
      <c r="D9" s="1">
        <v>2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99</v>
      </c>
      <c r="M9" s="1" t="s">
        <v>120</v>
      </c>
      <c r="N9" s="1" t="s">
        <v>129</v>
      </c>
      <c r="O9" s="31">
        <v>19</v>
      </c>
      <c r="P9" s="20">
        <v>22</v>
      </c>
      <c r="Q9" s="30">
        <v>-3</v>
      </c>
      <c r="R9" s="29" t="s">
        <v>103</v>
      </c>
      <c r="S9" s="28" t="s">
        <v>138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9</v>
      </c>
      <c r="B16" s="1">
        <v>7</v>
      </c>
      <c r="C16" s="1">
        <v>3</v>
      </c>
      <c r="D16" s="1">
        <v>3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127</v>
      </c>
      <c r="M16" s="1" t="s">
        <v>107</v>
      </c>
      <c r="N16" s="1" t="s">
        <v>119</v>
      </c>
      <c r="O16" s="31">
        <v>25</v>
      </c>
      <c r="P16" s="20">
        <v>22</v>
      </c>
      <c r="Q16" s="30">
        <v>3</v>
      </c>
      <c r="R16" s="29" t="s">
        <v>96</v>
      </c>
      <c r="S16" s="28" t="s">
        <v>158</v>
      </c>
    </row>
    <row r="17" spans="1:19" x14ac:dyDescent="0.3">
      <c r="A17" s="32" t="s">
        <v>14</v>
      </c>
      <c r="B17" s="1">
        <v>6</v>
      </c>
      <c r="C17" s="1">
        <v>3</v>
      </c>
      <c r="D17" s="1">
        <v>3</v>
      </c>
      <c r="E17" s="20">
        <v>0</v>
      </c>
      <c r="F17" s="30">
        <v>6</v>
      </c>
      <c r="G17" s="20">
        <v>1</v>
      </c>
      <c r="H17" s="20">
        <v>3</v>
      </c>
      <c r="I17" s="20">
        <v>0</v>
      </c>
      <c r="J17" s="20">
        <v>0</v>
      </c>
      <c r="K17" s="29" t="s">
        <v>115</v>
      </c>
      <c r="L17" s="1" t="s">
        <v>98</v>
      </c>
      <c r="M17" s="1" t="s">
        <v>98</v>
      </c>
      <c r="N17" s="1" t="s">
        <v>115</v>
      </c>
      <c r="O17" s="31">
        <v>16</v>
      </c>
      <c r="P17" s="20">
        <v>22</v>
      </c>
      <c r="Q17" s="30">
        <v>-6</v>
      </c>
      <c r="R17" s="29" t="s">
        <v>93</v>
      </c>
      <c r="S17" s="28" t="s">
        <v>156</v>
      </c>
    </row>
    <row r="18" spans="1:19" x14ac:dyDescent="0.3">
      <c r="A18" s="32" t="s">
        <v>13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3</v>
      </c>
      <c r="H18" s="20">
        <v>3</v>
      </c>
      <c r="I18" s="20">
        <v>0</v>
      </c>
      <c r="J18" s="20">
        <v>0</v>
      </c>
      <c r="K18" s="29" t="s">
        <v>114</v>
      </c>
      <c r="L18" s="1" t="s">
        <v>102</v>
      </c>
      <c r="M18" s="1" t="s">
        <v>98</v>
      </c>
      <c r="N18" s="1" t="s">
        <v>123</v>
      </c>
      <c r="O18" s="31">
        <v>19</v>
      </c>
      <c r="P18" s="20">
        <v>15</v>
      </c>
      <c r="Q18" s="30">
        <v>4</v>
      </c>
      <c r="R18" s="29" t="s">
        <v>93</v>
      </c>
      <c r="S18" s="28" t="s">
        <v>156</v>
      </c>
    </row>
    <row r="19" spans="1:19" x14ac:dyDescent="0.3">
      <c r="A19" s="32" t="s">
        <v>1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105</v>
      </c>
      <c r="L19" s="1" t="s">
        <v>106</v>
      </c>
      <c r="M19" s="1" t="s">
        <v>114</v>
      </c>
      <c r="N19" s="1" t="s">
        <v>126</v>
      </c>
      <c r="O19" s="31">
        <v>19</v>
      </c>
      <c r="P19" s="20">
        <v>18</v>
      </c>
      <c r="Q19" s="30">
        <v>1</v>
      </c>
      <c r="R19" s="29" t="s">
        <v>101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17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0</v>
      </c>
      <c r="K26" s="29" t="s">
        <v>104</v>
      </c>
      <c r="L26" s="1" t="s">
        <v>128</v>
      </c>
      <c r="M26" s="1" t="s">
        <v>98</v>
      </c>
      <c r="N26" s="1" t="s">
        <v>105</v>
      </c>
      <c r="O26" s="31">
        <v>21</v>
      </c>
      <c r="P26" s="20">
        <v>16</v>
      </c>
      <c r="Q26" s="30">
        <v>5</v>
      </c>
      <c r="R26" s="29" t="s">
        <v>96</v>
      </c>
      <c r="S26" s="28" t="s">
        <v>170</v>
      </c>
    </row>
    <row r="27" spans="1:19" x14ac:dyDescent="0.3">
      <c r="A27" s="32" t="s">
        <v>0</v>
      </c>
      <c r="B27" s="1">
        <v>6</v>
      </c>
      <c r="C27" s="1">
        <v>4</v>
      </c>
      <c r="D27" s="1">
        <v>1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104</v>
      </c>
      <c r="M27" s="1" t="s">
        <v>91</v>
      </c>
      <c r="N27" s="1" t="s">
        <v>105</v>
      </c>
      <c r="O27" s="31">
        <v>18</v>
      </c>
      <c r="P27" s="20">
        <v>17</v>
      </c>
      <c r="Q27" s="30">
        <v>1</v>
      </c>
      <c r="R27" s="29" t="s">
        <v>93</v>
      </c>
      <c r="S27" s="28" t="s">
        <v>139</v>
      </c>
    </row>
    <row r="28" spans="1:19" x14ac:dyDescent="0.3">
      <c r="A28" s="32" t="s">
        <v>24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105</v>
      </c>
      <c r="L28" s="1" t="s">
        <v>105</v>
      </c>
      <c r="M28" s="1" t="s">
        <v>105</v>
      </c>
      <c r="N28" s="1" t="s">
        <v>122</v>
      </c>
      <c r="O28" s="31">
        <v>29</v>
      </c>
      <c r="P28" s="20">
        <v>19</v>
      </c>
      <c r="Q28" s="30">
        <v>10</v>
      </c>
      <c r="R28" s="29" t="s">
        <v>93</v>
      </c>
      <c r="S28" s="28" t="s">
        <v>135</v>
      </c>
    </row>
    <row r="29" spans="1:19" x14ac:dyDescent="0.3">
      <c r="A29" s="32" t="s">
        <v>6</v>
      </c>
      <c r="B29" s="1">
        <v>6</v>
      </c>
      <c r="C29" s="1">
        <v>3</v>
      </c>
      <c r="D29" s="1">
        <v>2</v>
      </c>
      <c r="E29" s="20">
        <v>1</v>
      </c>
      <c r="F29" s="30">
        <v>7</v>
      </c>
      <c r="G29" s="20">
        <v>3</v>
      </c>
      <c r="H29" s="20">
        <v>3</v>
      </c>
      <c r="I29" s="20">
        <v>0</v>
      </c>
      <c r="J29" s="20">
        <v>0</v>
      </c>
      <c r="K29" s="29" t="s">
        <v>99</v>
      </c>
      <c r="L29" s="1" t="s">
        <v>115</v>
      </c>
      <c r="M29" s="1" t="s">
        <v>106</v>
      </c>
      <c r="N29" s="1" t="s">
        <v>127</v>
      </c>
      <c r="O29" s="31">
        <v>21</v>
      </c>
      <c r="P29" s="20">
        <v>18</v>
      </c>
      <c r="Q29" s="30">
        <v>3</v>
      </c>
      <c r="R29" s="29" t="s">
        <v>103</v>
      </c>
      <c r="S29" s="28" t="s">
        <v>138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1</v>
      </c>
      <c r="K30" s="29" t="s">
        <v>106</v>
      </c>
      <c r="L30" s="1" t="s">
        <v>112</v>
      </c>
      <c r="M30" s="1" t="s">
        <v>98</v>
      </c>
      <c r="N30" s="1" t="s">
        <v>106</v>
      </c>
      <c r="O30" s="31">
        <v>16</v>
      </c>
      <c r="P30" s="20">
        <v>19</v>
      </c>
      <c r="Q30" s="30">
        <v>-3</v>
      </c>
      <c r="R30" s="29" t="s">
        <v>101</v>
      </c>
      <c r="S30" s="28" t="s">
        <v>157</v>
      </c>
    </row>
    <row r="31" spans="1:19" x14ac:dyDescent="0.3">
      <c r="A31" s="32" t="s">
        <v>22</v>
      </c>
      <c r="B31" s="1">
        <v>6</v>
      </c>
      <c r="C31" s="1">
        <v>2</v>
      </c>
      <c r="D31" s="1">
        <v>3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107</v>
      </c>
      <c r="M31" s="1" t="s">
        <v>110</v>
      </c>
      <c r="N31" s="1" t="s">
        <v>123</v>
      </c>
      <c r="O31" s="31">
        <v>13</v>
      </c>
      <c r="P31" s="20">
        <v>11</v>
      </c>
      <c r="Q31" s="30">
        <v>2</v>
      </c>
      <c r="R31" s="29" t="s">
        <v>101</v>
      </c>
      <c r="S31" s="28" t="s">
        <v>169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124626-6272-422D-B2C0-8EDCBA072540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54E7-5A84-44E5-BEDE-B7562E67ECE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7</v>
      </c>
      <c r="C9" s="1">
        <v>3</v>
      </c>
      <c r="D9" s="1">
        <v>3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107</v>
      </c>
      <c r="M9" s="1" t="s">
        <v>120</v>
      </c>
      <c r="N9" s="1" t="s">
        <v>138</v>
      </c>
      <c r="O9" s="31">
        <v>23</v>
      </c>
      <c r="P9" s="20">
        <v>27</v>
      </c>
      <c r="Q9" s="30">
        <v>-4</v>
      </c>
      <c r="R9" s="29" t="s">
        <v>96</v>
      </c>
      <c r="S9" s="28" t="s">
        <v>158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1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114</v>
      </c>
      <c r="L16" s="1" t="s">
        <v>106</v>
      </c>
      <c r="M16" s="1" t="s">
        <v>114</v>
      </c>
      <c r="N16" s="1" t="s">
        <v>135</v>
      </c>
      <c r="O16" s="31">
        <v>24</v>
      </c>
      <c r="P16" s="20">
        <v>22</v>
      </c>
      <c r="Q16" s="30">
        <v>2</v>
      </c>
      <c r="R16" s="29" t="s">
        <v>93</v>
      </c>
      <c r="S16" s="28" t="s">
        <v>173</v>
      </c>
    </row>
    <row r="17" spans="1:19" x14ac:dyDescent="0.3">
      <c r="A17" s="32" t="s">
        <v>9</v>
      </c>
      <c r="B17" s="1">
        <v>7</v>
      </c>
      <c r="C17" s="1">
        <v>3</v>
      </c>
      <c r="D17" s="1">
        <v>3</v>
      </c>
      <c r="E17" s="20">
        <v>1</v>
      </c>
      <c r="F17" s="30">
        <v>7</v>
      </c>
      <c r="G17" s="20">
        <v>1</v>
      </c>
      <c r="H17" s="20">
        <v>2</v>
      </c>
      <c r="I17" s="20">
        <v>1</v>
      </c>
      <c r="J17" s="20">
        <v>1</v>
      </c>
      <c r="K17" s="29" t="s">
        <v>105</v>
      </c>
      <c r="L17" s="1" t="s">
        <v>127</v>
      </c>
      <c r="M17" s="1" t="s">
        <v>107</v>
      </c>
      <c r="N17" s="1" t="s">
        <v>119</v>
      </c>
      <c r="O17" s="31">
        <v>25</v>
      </c>
      <c r="P17" s="20">
        <v>22</v>
      </c>
      <c r="Q17" s="30">
        <v>3</v>
      </c>
      <c r="R17" s="29" t="s">
        <v>96</v>
      </c>
      <c r="S17" s="28" t="s">
        <v>158</v>
      </c>
    </row>
    <row r="18" spans="1:19" x14ac:dyDescent="0.3">
      <c r="A18" s="32" t="s">
        <v>14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1</v>
      </c>
      <c r="H18" s="20">
        <v>3</v>
      </c>
      <c r="I18" s="20">
        <v>0</v>
      </c>
      <c r="J18" s="20">
        <v>0</v>
      </c>
      <c r="K18" s="29" t="s">
        <v>115</v>
      </c>
      <c r="L18" s="1" t="s">
        <v>98</v>
      </c>
      <c r="M18" s="1" t="s">
        <v>98</v>
      </c>
      <c r="N18" s="1" t="s">
        <v>115</v>
      </c>
      <c r="O18" s="31">
        <v>16</v>
      </c>
      <c r="P18" s="20">
        <v>22</v>
      </c>
      <c r="Q18" s="30">
        <v>-6</v>
      </c>
      <c r="R18" s="29" t="s">
        <v>93</v>
      </c>
      <c r="S18" s="28" t="s">
        <v>156</v>
      </c>
    </row>
    <row r="19" spans="1:19" x14ac:dyDescent="0.3">
      <c r="A19" s="32" t="s">
        <v>13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114</v>
      </c>
      <c r="L19" s="1" t="s">
        <v>102</v>
      </c>
      <c r="M19" s="1" t="s">
        <v>98</v>
      </c>
      <c r="N19" s="1" t="s">
        <v>123</v>
      </c>
      <c r="O19" s="31">
        <v>19</v>
      </c>
      <c r="P19" s="20">
        <v>15</v>
      </c>
      <c r="Q19" s="30">
        <v>4</v>
      </c>
      <c r="R19" s="29" t="s">
        <v>93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24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1</v>
      </c>
      <c r="K26" s="29" t="s">
        <v>119</v>
      </c>
      <c r="L26" s="1" t="s">
        <v>105</v>
      </c>
      <c r="M26" s="1" t="s">
        <v>119</v>
      </c>
      <c r="N26" s="1" t="s">
        <v>139</v>
      </c>
      <c r="O26" s="31">
        <v>31</v>
      </c>
      <c r="P26" s="20">
        <v>22</v>
      </c>
      <c r="Q26" s="30">
        <v>9</v>
      </c>
      <c r="R26" s="29" t="s">
        <v>96</v>
      </c>
      <c r="S26" s="28" t="s">
        <v>170</v>
      </c>
    </row>
    <row r="27" spans="1:19" x14ac:dyDescent="0.3">
      <c r="A27" s="32" t="s">
        <v>17</v>
      </c>
      <c r="B27" s="1">
        <v>7</v>
      </c>
      <c r="C27" s="1">
        <v>4</v>
      </c>
      <c r="D27" s="1">
        <v>2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104</v>
      </c>
      <c r="L27" s="1" t="s">
        <v>128</v>
      </c>
      <c r="M27" s="1" t="s">
        <v>98</v>
      </c>
      <c r="N27" s="1" t="s">
        <v>105</v>
      </c>
      <c r="O27" s="31">
        <v>21</v>
      </c>
      <c r="P27" s="20">
        <v>16</v>
      </c>
      <c r="Q27" s="30">
        <v>5</v>
      </c>
      <c r="R27" s="29" t="s">
        <v>96</v>
      </c>
      <c r="S27" s="28" t="s">
        <v>170</v>
      </c>
    </row>
    <row r="28" spans="1:19" x14ac:dyDescent="0.3">
      <c r="A28" s="32" t="s">
        <v>0</v>
      </c>
      <c r="B28" s="1">
        <v>6</v>
      </c>
      <c r="C28" s="1">
        <v>4</v>
      </c>
      <c r="D28" s="1">
        <v>1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104</v>
      </c>
      <c r="M28" s="1" t="s">
        <v>91</v>
      </c>
      <c r="N28" s="1" t="s">
        <v>105</v>
      </c>
      <c r="O28" s="31">
        <v>18</v>
      </c>
      <c r="P28" s="20">
        <v>17</v>
      </c>
      <c r="Q28" s="30">
        <v>1</v>
      </c>
      <c r="R28" s="29" t="s">
        <v>93</v>
      </c>
      <c r="S28" s="28" t="s">
        <v>139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99</v>
      </c>
      <c r="L30" s="1" t="s">
        <v>115</v>
      </c>
      <c r="M30" s="1" t="s">
        <v>106</v>
      </c>
      <c r="N30" s="1" t="s">
        <v>127</v>
      </c>
      <c r="O30" s="31">
        <v>21</v>
      </c>
      <c r="P30" s="20">
        <v>18</v>
      </c>
      <c r="Q30" s="30">
        <v>3</v>
      </c>
      <c r="R30" s="29" t="s">
        <v>103</v>
      </c>
      <c r="S30" s="28" t="s">
        <v>138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112</v>
      </c>
      <c r="M31" s="1" t="s">
        <v>98</v>
      </c>
      <c r="N31" s="1" t="s">
        <v>106</v>
      </c>
      <c r="O31" s="31">
        <v>16</v>
      </c>
      <c r="P31" s="20">
        <v>19</v>
      </c>
      <c r="Q31" s="30">
        <v>-3</v>
      </c>
      <c r="R31" s="29" t="s">
        <v>101</v>
      </c>
      <c r="S31" s="28" t="s">
        <v>157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57031A7-DC37-4495-BA88-DE8A20451EE5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70B4-F869-4B93-8922-F9FF97215D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7</v>
      </c>
      <c r="C19" s="1">
        <v>3</v>
      </c>
      <c r="D19" s="1">
        <v>3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127</v>
      </c>
      <c r="M19" s="1" t="s">
        <v>107</v>
      </c>
      <c r="N19" s="1" t="s">
        <v>119</v>
      </c>
      <c r="O19" s="31">
        <v>25</v>
      </c>
      <c r="P19" s="20">
        <v>22</v>
      </c>
      <c r="Q19" s="30">
        <v>3</v>
      </c>
      <c r="R19" s="29" t="s">
        <v>96</v>
      </c>
      <c r="S19" s="28" t="s">
        <v>158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17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0</v>
      </c>
      <c r="K26" s="29" t="s">
        <v>120</v>
      </c>
      <c r="L26" s="1" t="s">
        <v>128</v>
      </c>
      <c r="M26" s="1" t="s">
        <v>105</v>
      </c>
      <c r="N26" s="1" t="s">
        <v>114</v>
      </c>
      <c r="O26" s="31">
        <v>26</v>
      </c>
      <c r="P26" s="20">
        <v>20</v>
      </c>
      <c r="Q26" s="30">
        <v>6</v>
      </c>
      <c r="R26" s="29" t="s">
        <v>93</v>
      </c>
      <c r="S26" s="28" t="s">
        <v>184</v>
      </c>
    </row>
    <row r="27" spans="1:19" x14ac:dyDescent="0.3">
      <c r="A27" s="32" t="s">
        <v>0</v>
      </c>
      <c r="B27" s="1">
        <v>7</v>
      </c>
      <c r="C27" s="1">
        <v>4</v>
      </c>
      <c r="D27" s="1">
        <v>1</v>
      </c>
      <c r="E27" s="20">
        <v>2</v>
      </c>
      <c r="F27" s="30">
        <v>10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111</v>
      </c>
      <c r="M27" s="1" t="s">
        <v>99</v>
      </c>
      <c r="N27" s="1" t="s">
        <v>119</v>
      </c>
      <c r="O27" s="31">
        <v>21</v>
      </c>
      <c r="P27" s="20">
        <v>21</v>
      </c>
      <c r="Q27" s="30">
        <v>0</v>
      </c>
      <c r="R27" s="29" t="s">
        <v>96</v>
      </c>
      <c r="S27" s="28" t="s">
        <v>186</v>
      </c>
    </row>
    <row r="28" spans="1:19" x14ac:dyDescent="0.3">
      <c r="A28" s="32" t="s">
        <v>24</v>
      </c>
      <c r="B28" s="1">
        <v>7</v>
      </c>
      <c r="C28" s="1">
        <v>4</v>
      </c>
      <c r="D28" s="1">
        <v>2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1</v>
      </c>
      <c r="K28" s="29" t="s">
        <v>119</v>
      </c>
      <c r="L28" s="1" t="s">
        <v>105</v>
      </c>
      <c r="M28" s="1" t="s">
        <v>119</v>
      </c>
      <c r="N28" s="1" t="s">
        <v>139</v>
      </c>
      <c r="O28" s="31">
        <v>31</v>
      </c>
      <c r="P28" s="20">
        <v>22</v>
      </c>
      <c r="Q28" s="30">
        <v>9</v>
      </c>
      <c r="R28" s="29" t="s">
        <v>96</v>
      </c>
      <c r="S28" s="28" t="s">
        <v>170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67193A-0C71-4F39-BE1F-BB83170F2E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BA19-BC13-4436-B8C9-401BB9AF35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8</v>
      </c>
      <c r="C19" s="1">
        <v>3</v>
      </c>
      <c r="D19" s="1">
        <v>4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136</v>
      </c>
      <c r="M19" s="1" t="s">
        <v>107</v>
      </c>
      <c r="N19" s="1" t="s">
        <v>119</v>
      </c>
      <c r="O19" s="31">
        <v>27</v>
      </c>
      <c r="P19" s="20">
        <v>27</v>
      </c>
      <c r="Q19" s="30">
        <v>0</v>
      </c>
      <c r="R19" s="29" t="s">
        <v>101</v>
      </c>
      <c r="S19" s="28" t="s">
        <v>191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7</v>
      </c>
      <c r="C28" s="1">
        <v>4</v>
      </c>
      <c r="D28" s="1">
        <v>1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111</v>
      </c>
      <c r="M28" s="1" t="s">
        <v>99</v>
      </c>
      <c r="N28" s="1" t="s">
        <v>119</v>
      </c>
      <c r="O28" s="31">
        <v>21</v>
      </c>
      <c r="P28" s="20">
        <v>21</v>
      </c>
      <c r="Q28" s="30">
        <v>0</v>
      </c>
      <c r="R28" s="29" t="s">
        <v>96</v>
      </c>
      <c r="S28" s="28" t="s">
        <v>186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1AA7EA0-5635-49D4-B686-31B622D6C906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EB68-8855-4501-B57D-3EAE522E42A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9</v>
      </c>
      <c r="C14" s="1">
        <v>7</v>
      </c>
      <c r="D14" s="1">
        <v>1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165</v>
      </c>
      <c r="M14" s="1" t="s">
        <v>114</v>
      </c>
      <c r="N14" s="1" t="s">
        <v>139</v>
      </c>
      <c r="O14" s="31">
        <v>34</v>
      </c>
      <c r="P14" s="20">
        <v>21</v>
      </c>
      <c r="Q14" s="30">
        <v>13</v>
      </c>
      <c r="R14" s="29" t="s">
        <v>195</v>
      </c>
      <c r="S14" s="28" t="s">
        <v>196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95</v>
      </c>
      <c r="M20" s="1" t="s">
        <v>104</v>
      </c>
      <c r="N20" s="1" t="s">
        <v>114</v>
      </c>
      <c r="O20" s="31">
        <v>17</v>
      </c>
      <c r="P20" s="20">
        <v>21</v>
      </c>
      <c r="Q20" s="30">
        <v>-4</v>
      </c>
      <c r="R20" s="29" t="s">
        <v>93</v>
      </c>
      <c r="S20" s="28" t="s">
        <v>156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9</v>
      </c>
      <c r="C25" s="1">
        <v>6</v>
      </c>
      <c r="D25" s="1">
        <v>3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105</v>
      </c>
      <c r="L25" s="1" t="s">
        <v>135</v>
      </c>
      <c r="M25" s="1" t="s">
        <v>91</v>
      </c>
      <c r="N25" s="1" t="s">
        <v>105</v>
      </c>
      <c r="O25" s="31">
        <v>33</v>
      </c>
      <c r="P25" s="20">
        <v>27</v>
      </c>
      <c r="Q25" s="30">
        <v>6</v>
      </c>
      <c r="R25" s="29" t="s">
        <v>96</v>
      </c>
      <c r="S25" s="28" t="s">
        <v>178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437228-F943-470E-BB90-FC74AA58C364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963AA-570D-4091-9D93-88B7E972D1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16</v>
      </c>
      <c r="B9" s="1">
        <v>8</v>
      </c>
      <c r="C9" s="1">
        <v>4</v>
      </c>
      <c r="D9" s="1">
        <v>3</v>
      </c>
      <c r="E9" s="20">
        <v>1</v>
      </c>
      <c r="F9" s="30">
        <v>9</v>
      </c>
      <c r="G9" s="31">
        <v>1</v>
      </c>
      <c r="H9" s="20">
        <v>2</v>
      </c>
      <c r="I9" s="20">
        <v>2</v>
      </c>
      <c r="J9" s="30">
        <v>0</v>
      </c>
      <c r="K9" s="29" t="s">
        <v>126</v>
      </c>
      <c r="L9" s="1" t="s">
        <v>107</v>
      </c>
      <c r="M9" s="1" t="s">
        <v>149</v>
      </c>
      <c r="N9" s="1" t="s">
        <v>170</v>
      </c>
      <c r="O9" s="31">
        <v>27</v>
      </c>
      <c r="P9" s="20">
        <v>30</v>
      </c>
      <c r="Q9" s="30">
        <v>-3</v>
      </c>
      <c r="R9" s="29" t="s">
        <v>93</v>
      </c>
      <c r="S9" s="28" t="s">
        <v>174</v>
      </c>
    </row>
    <row r="10" spans="1:20" x14ac:dyDescent="0.3">
      <c r="A10" s="32" t="s">
        <v>21</v>
      </c>
      <c r="B10" s="1">
        <v>8</v>
      </c>
      <c r="C10" s="1">
        <v>3</v>
      </c>
      <c r="D10" s="1">
        <v>3</v>
      </c>
      <c r="E10" s="20">
        <v>2</v>
      </c>
      <c r="F10" s="30">
        <v>8</v>
      </c>
      <c r="G10" s="31">
        <v>2</v>
      </c>
      <c r="H10" s="20">
        <v>2</v>
      </c>
      <c r="I10" s="20">
        <v>1</v>
      </c>
      <c r="J10" s="30">
        <v>1</v>
      </c>
      <c r="K10" s="29" t="s">
        <v>158</v>
      </c>
      <c r="L10" s="1" t="s">
        <v>97</v>
      </c>
      <c r="M10" s="1" t="s">
        <v>99</v>
      </c>
      <c r="N10" s="1" t="s">
        <v>137</v>
      </c>
      <c r="O10" s="31">
        <v>20</v>
      </c>
      <c r="P10" s="20">
        <v>24</v>
      </c>
      <c r="Q10" s="30">
        <v>-4</v>
      </c>
      <c r="R10" s="29" t="s">
        <v>103</v>
      </c>
      <c r="S10" s="28" t="s">
        <v>177</v>
      </c>
    </row>
    <row r="11" spans="1:20" ht="15" thickBot="1" x14ac:dyDescent="0.35">
      <c r="A11" s="32" t="s">
        <v>4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1</v>
      </c>
      <c r="K11" s="29" t="s">
        <v>169</v>
      </c>
      <c r="L11" s="1" t="s">
        <v>107</v>
      </c>
      <c r="M11" s="1" t="s">
        <v>124</v>
      </c>
      <c r="N11" s="1" t="s">
        <v>136</v>
      </c>
      <c r="O11" s="31">
        <v>29</v>
      </c>
      <c r="P11" s="20">
        <v>32</v>
      </c>
      <c r="Q11" s="30">
        <v>-3</v>
      </c>
      <c r="R11" s="29" t="s">
        <v>109</v>
      </c>
      <c r="S11" s="28" t="s">
        <v>194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10</v>
      </c>
      <c r="C15" s="1">
        <v>6</v>
      </c>
      <c r="D15" s="1">
        <v>3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136</v>
      </c>
      <c r="M15" s="1" t="s">
        <v>127</v>
      </c>
      <c r="N15" s="1" t="s">
        <v>174</v>
      </c>
      <c r="O15" s="31">
        <v>28</v>
      </c>
      <c r="P15" s="20">
        <v>22</v>
      </c>
      <c r="Q15" s="30">
        <v>6</v>
      </c>
      <c r="R15" s="29" t="s">
        <v>101</v>
      </c>
      <c r="S15" s="28" t="s">
        <v>198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9</v>
      </c>
      <c r="B19" s="1">
        <v>9</v>
      </c>
      <c r="C19" s="1">
        <v>3</v>
      </c>
      <c r="D19" s="1">
        <v>5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188</v>
      </c>
      <c r="M19" s="1" t="s">
        <v>107</v>
      </c>
      <c r="N19" s="1" t="s">
        <v>119</v>
      </c>
      <c r="O19" s="31">
        <v>29</v>
      </c>
      <c r="P19" s="20">
        <v>33</v>
      </c>
      <c r="Q19" s="30">
        <v>-4</v>
      </c>
      <c r="R19" s="29" t="s">
        <v>109</v>
      </c>
      <c r="S19" s="28" t="s">
        <v>202</v>
      </c>
    </row>
    <row r="20" spans="1:19" x14ac:dyDescent="0.3">
      <c r="A20" s="32" t="s">
        <v>23</v>
      </c>
      <c r="B20" s="1">
        <v>7</v>
      </c>
      <c r="C20" s="1">
        <v>3</v>
      </c>
      <c r="D20" s="1">
        <v>4</v>
      </c>
      <c r="E20" s="20">
        <v>0</v>
      </c>
      <c r="F20" s="30">
        <v>6</v>
      </c>
      <c r="G20" s="20">
        <v>1</v>
      </c>
      <c r="H20" s="20">
        <v>2</v>
      </c>
      <c r="I20" s="20">
        <v>1</v>
      </c>
      <c r="J20" s="20">
        <v>0</v>
      </c>
      <c r="K20" s="29" t="s">
        <v>126</v>
      </c>
      <c r="L20" s="1" t="s">
        <v>102</v>
      </c>
      <c r="M20" s="1" t="s">
        <v>104</v>
      </c>
      <c r="N20" s="1" t="s">
        <v>114</v>
      </c>
      <c r="O20" s="31">
        <v>18</v>
      </c>
      <c r="P20" s="20">
        <v>23</v>
      </c>
      <c r="Q20" s="30">
        <v>-5</v>
      </c>
      <c r="R20" s="29" t="s">
        <v>96</v>
      </c>
      <c r="S20" s="28" t="s">
        <v>211</v>
      </c>
    </row>
    <row r="21" spans="1:19" ht="15" thickBot="1" x14ac:dyDescent="0.35">
      <c r="A21" s="27" t="s">
        <v>10</v>
      </c>
      <c r="B21" s="26">
        <v>10</v>
      </c>
      <c r="C21" s="26">
        <v>1</v>
      </c>
      <c r="D21" s="26">
        <v>6</v>
      </c>
      <c r="E21" s="24">
        <v>3</v>
      </c>
      <c r="F21" s="23">
        <v>5</v>
      </c>
      <c r="G21" s="24">
        <v>1</v>
      </c>
      <c r="H21" s="24">
        <v>1</v>
      </c>
      <c r="I21" s="24">
        <v>0</v>
      </c>
      <c r="J21" s="24">
        <v>1</v>
      </c>
      <c r="K21" s="22" t="s">
        <v>199</v>
      </c>
      <c r="L21" s="26" t="s">
        <v>179</v>
      </c>
      <c r="M21" s="26" t="s">
        <v>116</v>
      </c>
      <c r="N21" s="26" t="s">
        <v>200</v>
      </c>
      <c r="O21" s="25">
        <v>14</v>
      </c>
      <c r="P21" s="24">
        <v>34</v>
      </c>
      <c r="Q21" s="23">
        <v>-20</v>
      </c>
      <c r="R21" s="22" t="s">
        <v>93</v>
      </c>
      <c r="S21" s="21" t="s">
        <v>201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9</v>
      </c>
      <c r="C25" s="1">
        <v>6</v>
      </c>
      <c r="D25" s="1">
        <v>2</v>
      </c>
      <c r="E25" s="20">
        <v>1</v>
      </c>
      <c r="F25" s="30">
        <v>13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128</v>
      </c>
      <c r="M25" s="1" t="s">
        <v>105</v>
      </c>
      <c r="N25" s="1" t="s">
        <v>114</v>
      </c>
      <c r="O25" s="31">
        <v>28</v>
      </c>
      <c r="P25" s="20">
        <v>21</v>
      </c>
      <c r="Q25" s="30">
        <v>7</v>
      </c>
      <c r="R25" s="29" t="s">
        <v>103</v>
      </c>
      <c r="S25" s="28" t="s">
        <v>212</v>
      </c>
    </row>
    <row r="26" spans="1:19" x14ac:dyDescent="0.3">
      <c r="A26" s="32" t="s">
        <v>89</v>
      </c>
      <c r="B26" s="1">
        <v>9</v>
      </c>
      <c r="C26" s="1">
        <v>6</v>
      </c>
      <c r="D26" s="1">
        <v>3</v>
      </c>
      <c r="E26" s="20">
        <v>0</v>
      </c>
      <c r="F26" s="30">
        <v>12</v>
      </c>
      <c r="G26" s="20">
        <v>6</v>
      </c>
      <c r="H26" s="20">
        <v>6</v>
      </c>
      <c r="I26" s="20">
        <v>0</v>
      </c>
      <c r="J26" s="20">
        <v>0</v>
      </c>
      <c r="K26" s="29" t="s">
        <v>105</v>
      </c>
      <c r="L26" s="1" t="s">
        <v>135</v>
      </c>
      <c r="M26" s="1" t="s">
        <v>91</v>
      </c>
      <c r="N26" s="1" t="s">
        <v>105</v>
      </c>
      <c r="O26" s="31">
        <v>33</v>
      </c>
      <c r="P26" s="20">
        <v>27</v>
      </c>
      <c r="Q26" s="30">
        <v>6</v>
      </c>
      <c r="R26" s="29" t="s">
        <v>96</v>
      </c>
      <c r="S26" s="28" t="s">
        <v>178</v>
      </c>
    </row>
    <row r="27" spans="1:19" x14ac:dyDescent="0.3">
      <c r="A27" s="32" t="s">
        <v>24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105</v>
      </c>
      <c r="M27" s="1" t="s">
        <v>119</v>
      </c>
      <c r="N27" s="1" t="s">
        <v>139</v>
      </c>
      <c r="O27" s="31">
        <v>36</v>
      </c>
      <c r="P27" s="20">
        <v>24</v>
      </c>
      <c r="Q27" s="30">
        <v>12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119</v>
      </c>
      <c r="M38" s="1" t="s">
        <v>98</v>
      </c>
      <c r="N38" s="1" t="s">
        <v>126</v>
      </c>
      <c r="O38" s="31">
        <v>22</v>
      </c>
      <c r="P38" s="20">
        <v>29</v>
      </c>
      <c r="Q38" s="30">
        <v>-7</v>
      </c>
      <c r="R38" s="29" t="s">
        <v>96</v>
      </c>
      <c r="S38" s="28" t="s">
        <v>174</v>
      </c>
    </row>
    <row r="39" spans="1:19" x14ac:dyDescent="0.3">
      <c r="A39" s="32" t="s">
        <v>31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120</v>
      </c>
      <c r="M39" s="1" t="s">
        <v>115</v>
      </c>
      <c r="N39" s="1" t="s">
        <v>126</v>
      </c>
      <c r="O39" s="31">
        <v>22</v>
      </c>
      <c r="P39" s="20">
        <v>21</v>
      </c>
      <c r="Q39" s="30">
        <v>1</v>
      </c>
      <c r="R39" s="29" t="s">
        <v>101</v>
      </c>
      <c r="S39" s="28" t="s">
        <v>173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B021E65-66FD-45BE-BAE3-B36269AD8AE7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A5B14-A81D-4678-BB98-2FBFFF81147D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9</v>
      </c>
      <c r="C4" s="40">
        <v>7</v>
      </c>
      <c r="D4" s="40">
        <v>2</v>
      </c>
      <c r="E4" s="38">
        <v>0</v>
      </c>
      <c r="F4" s="33">
        <v>14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122</v>
      </c>
      <c r="M4" s="40" t="s">
        <v>95</v>
      </c>
      <c r="N4" s="40" t="s">
        <v>105</v>
      </c>
      <c r="O4" s="39">
        <v>34</v>
      </c>
      <c r="P4" s="38">
        <v>19</v>
      </c>
      <c r="Q4" s="33">
        <v>15</v>
      </c>
      <c r="R4" s="37" t="s">
        <v>150</v>
      </c>
      <c r="S4" s="36" t="s">
        <v>190</v>
      </c>
    </row>
    <row r="5" spans="1:20" x14ac:dyDescent="0.3">
      <c r="A5" s="32" t="s">
        <v>19</v>
      </c>
      <c r="B5" s="1">
        <v>9</v>
      </c>
      <c r="C5" s="1">
        <v>5</v>
      </c>
      <c r="D5" s="1">
        <v>2</v>
      </c>
      <c r="E5" s="20">
        <v>2</v>
      </c>
      <c r="F5" s="30">
        <v>12</v>
      </c>
      <c r="G5" s="31">
        <v>3</v>
      </c>
      <c r="H5" s="20">
        <v>5</v>
      </c>
      <c r="I5" s="20">
        <v>0</v>
      </c>
      <c r="J5" s="30">
        <v>0</v>
      </c>
      <c r="K5" s="29" t="s">
        <v>105</v>
      </c>
      <c r="L5" s="1" t="s">
        <v>161</v>
      </c>
      <c r="M5" s="1" t="s">
        <v>95</v>
      </c>
      <c r="N5" s="1" t="s">
        <v>105</v>
      </c>
      <c r="O5" s="31">
        <v>30</v>
      </c>
      <c r="P5" s="20">
        <v>25</v>
      </c>
      <c r="Q5" s="30">
        <v>5</v>
      </c>
      <c r="R5" s="29" t="s">
        <v>113</v>
      </c>
      <c r="S5" s="28" t="s">
        <v>193</v>
      </c>
    </row>
    <row r="6" spans="1:20" x14ac:dyDescent="0.3">
      <c r="A6" s="32" t="s">
        <v>11</v>
      </c>
      <c r="B6" s="1">
        <v>9</v>
      </c>
      <c r="C6" s="1">
        <v>6</v>
      </c>
      <c r="D6" s="1">
        <v>3</v>
      </c>
      <c r="E6" s="20">
        <v>0</v>
      </c>
      <c r="F6" s="30">
        <v>12</v>
      </c>
      <c r="G6" s="31">
        <v>4</v>
      </c>
      <c r="H6" s="20">
        <v>4</v>
      </c>
      <c r="I6" s="20">
        <v>2</v>
      </c>
      <c r="J6" s="30">
        <v>0</v>
      </c>
      <c r="K6" s="29" t="s">
        <v>114</v>
      </c>
      <c r="L6" s="1" t="s">
        <v>126</v>
      </c>
      <c r="M6" s="1" t="s">
        <v>105</v>
      </c>
      <c r="N6" s="1" t="s">
        <v>152</v>
      </c>
      <c r="O6" s="31">
        <v>24</v>
      </c>
      <c r="P6" s="20">
        <v>23</v>
      </c>
      <c r="Q6" s="30">
        <v>1</v>
      </c>
      <c r="R6" s="29" t="s">
        <v>96</v>
      </c>
      <c r="S6" s="28" t="s">
        <v>178</v>
      </c>
    </row>
    <row r="7" spans="1:20" x14ac:dyDescent="0.3">
      <c r="A7" s="32" t="s">
        <v>5</v>
      </c>
      <c r="B7" s="1">
        <v>8</v>
      </c>
      <c r="C7" s="1">
        <v>6</v>
      </c>
      <c r="D7" s="1">
        <v>2</v>
      </c>
      <c r="E7" s="20">
        <v>0</v>
      </c>
      <c r="F7" s="30">
        <v>12</v>
      </c>
      <c r="G7" s="31">
        <v>5</v>
      </c>
      <c r="H7" s="20">
        <v>6</v>
      </c>
      <c r="I7" s="20">
        <v>0</v>
      </c>
      <c r="J7" s="30">
        <v>0</v>
      </c>
      <c r="K7" s="29" t="s">
        <v>165</v>
      </c>
      <c r="L7" s="1" t="s">
        <v>106</v>
      </c>
      <c r="M7" s="1" t="s">
        <v>92</v>
      </c>
      <c r="N7" s="1" t="s">
        <v>126</v>
      </c>
      <c r="O7" s="31">
        <v>25</v>
      </c>
      <c r="P7" s="20">
        <v>21</v>
      </c>
      <c r="Q7" s="30">
        <v>4</v>
      </c>
      <c r="R7" s="29" t="s">
        <v>103</v>
      </c>
      <c r="S7" s="28" t="s">
        <v>166</v>
      </c>
    </row>
    <row r="8" spans="1:20" x14ac:dyDescent="0.3">
      <c r="A8" s="32" t="s">
        <v>28</v>
      </c>
      <c r="B8" s="1">
        <v>9</v>
      </c>
      <c r="C8" s="1">
        <v>4</v>
      </c>
      <c r="D8" s="1">
        <v>3</v>
      </c>
      <c r="E8" s="20">
        <v>2</v>
      </c>
      <c r="F8" s="30">
        <v>10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159</v>
      </c>
      <c r="M8" s="1" t="s">
        <v>118</v>
      </c>
      <c r="N8" s="1" t="s">
        <v>137</v>
      </c>
      <c r="O8" s="31">
        <v>27</v>
      </c>
      <c r="P8" s="20">
        <v>34</v>
      </c>
      <c r="Q8" s="30">
        <v>-7</v>
      </c>
      <c r="R8" s="29" t="s">
        <v>96</v>
      </c>
      <c r="S8" s="28" t="s">
        <v>192</v>
      </c>
    </row>
    <row r="9" spans="1:20" x14ac:dyDescent="0.3">
      <c r="A9" s="32" t="s">
        <v>4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3</v>
      </c>
      <c r="H9" s="20">
        <v>4</v>
      </c>
      <c r="I9" s="20">
        <v>0</v>
      </c>
      <c r="J9" s="30">
        <v>1</v>
      </c>
      <c r="K9" s="29" t="s">
        <v>158</v>
      </c>
      <c r="L9" s="1" t="s">
        <v>107</v>
      </c>
      <c r="M9" s="1" t="s">
        <v>124</v>
      </c>
      <c r="N9" s="1" t="s">
        <v>136</v>
      </c>
      <c r="O9" s="31">
        <v>32</v>
      </c>
      <c r="P9" s="20">
        <v>33</v>
      </c>
      <c r="Q9" s="30">
        <v>-1</v>
      </c>
      <c r="R9" s="29" t="s">
        <v>93</v>
      </c>
      <c r="S9" s="28" t="s">
        <v>213</v>
      </c>
    </row>
    <row r="10" spans="1:20" x14ac:dyDescent="0.3">
      <c r="A10" s="32" t="s">
        <v>16</v>
      </c>
      <c r="B10" s="1">
        <v>8</v>
      </c>
      <c r="C10" s="1">
        <v>4</v>
      </c>
      <c r="D10" s="1">
        <v>3</v>
      </c>
      <c r="E10" s="20">
        <v>1</v>
      </c>
      <c r="F10" s="30">
        <v>9</v>
      </c>
      <c r="G10" s="31">
        <v>1</v>
      </c>
      <c r="H10" s="20">
        <v>2</v>
      </c>
      <c r="I10" s="20">
        <v>2</v>
      </c>
      <c r="J10" s="30">
        <v>0</v>
      </c>
      <c r="K10" s="29" t="s">
        <v>126</v>
      </c>
      <c r="L10" s="1" t="s">
        <v>107</v>
      </c>
      <c r="M10" s="1" t="s">
        <v>149</v>
      </c>
      <c r="N10" s="1" t="s">
        <v>170</v>
      </c>
      <c r="O10" s="31">
        <v>27</v>
      </c>
      <c r="P10" s="20">
        <v>30</v>
      </c>
      <c r="Q10" s="30">
        <v>-3</v>
      </c>
      <c r="R10" s="29" t="s">
        <v>93</v>
      </c>
      <c r="S10" s="28" t="s">
        <v>174</v>
      </c>
    </row>
    <row r="11" spans="1:20" ht="15" thickBot="1" x14ac:dyDescent="0.35">
      <c r="A11" s="32" t="s">
        <v>21</v>
      </c>
      <c r="B11" s="1">
        <v>8</v>
      </c>
      <c r="C11" s="1">
        <v>3</v>
      </c>
      <c r="D11" s="1">
        <v>3</v>
      </c>
      <c r="E11" s="24">
        <v>2</v>
      </c>
      <c r="F11" s="23">
        <v>8</v>
      </c>
      <c r="G11" s="25">
        <v>2</v>
      </c>
      <c r="H11" s="24">
        <v>2</v>
      </c>
      <c r="I11" s="24">
        <v>1</v>
      </c>
      <c r="J11" s="23">
        <v>1</v>
      </c>
      <c r="K11" s="29" t="s">
        <v>158</v>
      </c>
      <c r="L11" s="1" t="s">
        <v>97</v>
      </c>
      <c r="M11" s="1" t="s">
        <v>99</v>
      </c>
      <c r="N11" s="1" t="s">
        <v>137</v>
      </c>
      <c r="O11" s="31">
        <v>20</v>
      </c>
      <c r="P11" s="20">
        <v>24</v>
      </c>
      <c r="Q11" s="30">
        <v>-4</v>
      </c>
      <c r="R11" s="29" t="s">
        <v>103</v>
      </c>
      <c r="S11" s="28" t="s">
        <v>177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10</v>
      </c>
      <c r="C14" s="1">
        <v>7</v>
      </c>
      <c r="D14" s="1">
        <v>2</v>
      </c>
      <c r="E14" s="20">
        <v>1</v>
      </c>
      <c r="F14" s="33">
        <v>15</v>
      </c>
      <c r="G14" s="20">
        <v>6</v>
      </c>
      <c r="H14" s="20">
        <v>7</v>
      </c>
      <c r="I14" s="20">
        <v>0</v>
      </c>
      <c r="J14" s="20">
        <v>0</v>
      </c>
      <c r="K14" s="29" t="s">
        <v>119</v>
      </c>
      <c r="L14" s="1" t="s">
        <v>148</v>
      </c>
      <c r="M14" s="1" t="s">
        <v>114</v>
      </c>
      <c r="N14" s="1" t="s">
        <v>139</v>
      </c>
      <c r="O14" s="31">
        <v>36</v>
      </c>
      <c r="P14" s="20">
        <v>24</v>
      </c>
      <c r="Q14" s="30">
        <v>12</v>
      </c>
      <c r="R14" s="29" t="s">
        <v>96</v>
      </c>
      <c r="S14" s="28" t="s">
        <v>210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</v>
      </c>
      <c r="B16" s="1">
        <v>8</v>
      </c>
      <c r="C16" s="1">
        <v>5</v>
      </c>
      <c r="D16" s="1">
        <v>3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122</v>
      </c>
      <c r="L16" s="1" t="s">
        <v>106</v>
      </c>
      <c r="M16" s="1" t="s">
        <v>122</v>
      </c>
      <c r="N16" s="1" t="s">
        <v>152</v>
      </c>
      <c r="O16" s="31">
        <v>28</v>
      </c>
      <c r="P16" s="20">
        <v>24</v>
      </c>
      <c r="Q16" s="30">
        <v>4</v>
      </c>
      <c r="R16" s="29" t="s">
        <v>103</v>
      </c>
      <c r="S16" s="28" t="s">
        <v>203</v>
      </c>
    </row>
    <row r="17" spans="1:19" x14ac:dyDescent="0.3">
      <c r="A17" s="32" t="s">
        <v>13</v>
      </c>
      <c r="B17" s="1">
        <v>8</v>
      </c>
      <c r="C17" s="1">
        <v>4</v>
      </c>
      <c r="D17" s="1">
        <v>3</v>
      </c>
      <c r="E17" s="20">
        <v>1</v>
      </c>
      <c r="F17" s="30">
        <v>9</v>
      </c>
      <c r="G17" s="20">
        <v>4</v>
      </c>
      <c r="H17" s="20">
        <v>4</v>
      </c>
      <c r="I17" s="20">
        <v>0</v>
      </c>
      <c r="J17" s="20">
        <v>1</v>
      </c>
      <c r="K17" s="29" t="s">
        <v>114</v>
      </c>
      <c r="L17" s="1" t="s">
        <v>127</v>
      </c>
      <c r="M17" s="1" t="s">
        <v>98</v>
      </c>
      <c r="N17" s="1" t="s">
        <v>169</v>
      </c>
      <c r="O17" s="31">
        <v>24</v>
      </c>
      <c r="P17" s="20">
        <v>18</v>
      </c>
      <c r="Q17" s="30">
        <v>6</v>
      </c>
      <c r="R17" s="29" t="s">
        <v>93</v>
      </c>
      <c r="S17" s="28" t="s">
        <v>174</v>
      </c>
    </row>
    <row r="18" spans="1:19" x14ac:dyDescent="0.3">
      <c r="A18" s="32" t="s">
        <v>14</v>
      </c>
      <c r="B18" s="1">
        <v>8</v>
      </c>
      <c r="C18" s="1">
        <v>4</v>
      </c>
      <c r="D18" s="1">
        <v>4</v>
      </c>
      <c r="E18" s="20">
        <v>0</v>
      </c>
      <c r="F18" s="30">
        <v>8</v>
      </c>
      <c r="G18" s="20">
        <v>2</v>
      </c>
      <c r="H18" s="20">
        <v>4</v>
      </c>
      <c r="I18" s="20">
        <v>0</v>
      </c>
      <c r="J18" s="20">
        <v>0</v>
      </c>
      <c r="K18" s="29" t="s">
        <v>126</v>
      </c>
      <c r="L18" s="1" t="s">
        <v>106</v>
      </c>
      <c r="M18" s="1" t="s">
        <v>115</v>
      </c>
      <c r="N18" s="1" t="s">
        <v>156</v>
      </c>
      <c r="O18" s="31">
        <v>25</v>
      </c>
      <c r="P18" s="20">
        <v>27</v>
      </c>
      <c r="Q18" s="30">
        <v>-2</v>
      </c>
      <c r="R18" s="29" t="s">
        <v>96</v>
      </c>
      <c r="S18" s="28" t="s">
        <v>197</v>
      </c>
    </row>
    <row r="19" spans="1:19" x14ac:dyDescent="0.3">
      <c r="A19" s="32" t="s">
        <v>10</v>
      </c>
      <c r="B19" s="1">
        <v>11</v>
      </c>
      <c r="C19" s="1">
        <v>2</v>
      </c>
      <c r="D19" s="1">
        <v>6</v>
      </c>
      <c r="E19" s="20">
        <v>3</v>
      </c>
      <c r="F19" s="30">
        <v>7</v>
      </c>
      <c r="G19" s="20">
        <v>2</v>
      </c>
      <c r="H19" s="20">
        <v>2</v>
      </c>
      <c r="I19" s="20">
        <v>0</v>
      </c>
      <c r="J19" s="20">
        <v>1</v>
      </c>
      <c r="K19" s="29" t="s">
        <v>157</v>
      </c>
      <c r="L19" s="1" t="s">
        <v>179</v>
      </c>
      <c r="M19" s="1" t="s">
        <v>116</v>
      </c>
      <c r="N19" s="1" t="s">
        <v>200</v>
      </c>
      <c r="O19" s="31">
        <v>17</v>
      </c>
      <c r="P19" s="20">
        <v>36</v>
      </c>
      <c r="Q19" s="30">
        <v>-19</v>
      </c>
      <c r="R19" s="29" t="s">
        <v>103</v>
      </c>
      <c r="S19" s="28" t="s">
        <v>215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126</v>
      </c>
      <c r="L21" s="26" t="s">
        <v>102</v>
      </c>
      <c r="M21" s="26" t="s">
        <v>104</v>
      </c>
      <c r="N21" s="26" t="s">
        <v>114</v>
      </c>
      <c r="O21" s="25">
        <v>18</v>
      </c>
      <c r="P21" s="24">
        <v>23</v>
      </c>
      <c r="Q21" s="23">
        <v>-5</v>
      </c>
      <c r="R21" s="22" t="s">
        <v>96</v>
      </c>
      <c r="S21" s="21" t="s">
        <v>211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10</v>
      </c>
      <c r="C25" s="1">
        <v>7</v>
      </c>
      <c r="D25" s="1">
        <v>3</v>
      </c>
      <c r="E25" s="20">
        <v>0</v>
      </c>
      <c r="F25" s="30">
        <v>14</v>
      </c>
      <c r="G25" s="20">
        <v>7</v>
      </c>
      <c r="H25" s="20">
        <v>7</v>
      </c>
      <c r="I25" s="20">
        <v>0</v>
      </c>
      <c r="J25" s="20">
        <v>0</v>
      </c>
      <c r="K25" s="29" t="s">
        <v>114</v>
      </c>
      <c r="L25" s="1" t="s">
        <v>135</v>
      </c>
      <c r="M25" s="1" t="s">
        <v>91</v>
      </c>
      <c r="N25" s="1" t="s">
        <v>105</v>
      </c>
      <c r="O25" s="31">
        <v>38</v>
      </c>
      <c r="P25" s="20">
        <v>31</v>
      </c>
      <c r="Q25" s="30">
        <v>7</v>
      </c>
      <c r="R25" s="29" t="s">
        <v>93</v>
      </c>
      <c r="S25" s="28" t="s">
        <v>217</v>
      </c>
    </row>
    <row r="26" spans="1:19" x14ac:dyDescent="0.3">
      <c r="A26" s="32" t="s">
        <v>17</v>
      </c>
      <c r="B26" s="1">
        <v>9</v>
      </c>
      <c r="C26" s="1">
        <v>6</v>
      </c>
      <c r="D26" s="1">
        <v>2</v>
      </c>
      <c r="E26" s="20">
        <v>1</v>
      </c>
      <c r="F26" s="30">
        <v>13</v>
      </c>
      <c r="G26" s="20">
        <v>6</v>
      </c>
      <c r="H26" s="20">
        <v>6</v>
      </c>
      <c r="I26" s="20">
        <v>0</v>
      </c>
      <c r="J26" s="20">
        <v>0</v>
      </c>
      <c r="K26" s="29" t="s">
        <v>149</v>
      </c>
      <c r="L26" s="1" t="s">
        <v>128</v>
      </c>
      <c r="M26" s="1" t="s">
        <v>105</v>
      </c>
      <c r="N26" s="1" t="s">
        <v>114</v>
      </c>
      <c r="O26" s="31">
        <v>28</v>
      </c>
      <c r="P26" s="20">
        <v>21</v>
      </c>
      <c r="Q26" s="30">
        <v>7</v>
      </c>
      <c r="R26" s="29" t="s">
        <v>103</v>
      </c>
      <c r="S26" s="28" t="s">
        <v>212</v>
      </c>
    </row>
    <row r="27" spans="1:19" x14ac:dyDescent="0.3">
      <c r="A27" s="32" t="s">
        <v>24</v>
      </c>
      <c r="B27" s="1">
        <v>9</v>
      </c>
      <c r="C27" s="1">
        <v>5</v>
      </c>
      <c r="D27" s="1">
        <v>3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115</v>
      </c>
      <c r="M27" s="1" t="s">
        <v>119</v>
      </c>
      <c r="N27" s="1" t="s">
        <v>139</v>
      </c>
      <c r="O27" s="31">
        <v>38</v>
      </c>
      <c r="P27" s="20">
        <v>27</v>
      </c>
      <c r="Q27" s="30">
        <v>11</v>
      </c>
      <c r="R27" s="29" t="s">
        <v>96</v>
      </c>
      <c r="S27" s="28" t="s">
        <v>206</v>
      </c>
    </row>
    <row r="28" spans="1:19" x14ac:dyDescent="0.3">
      <c r="A28" s="32" t="s">
        <v>0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128</v>
      </c>
      <c r="L28" s="1" t="s">
        <v>111</v>
      </c>
      <c r="M28" s="1" t="s">
        <v>99</v>
      </c>
      <c r="N28" s="1" t="s">
        <v>119</v>
      </c>
      <c r="O28" s="31">
        <v>23</v>
      </c>
      <c r="P28" s="20">
        <v>24</v>
      </c>
      <c r="Q28" s="30">
        <v>-1</v>
      </c>
      <c r="R28" s="29" t="s">
        <v>101</v>
      </c>
      <c r="S28" s="28" t="s">
        <v>176</v>
      </c>
    </row>
    <row r="29" spans="1:19" x14ac:dyDescent="0.3">
      <c r="A29" s="32" t="s">
        <v>22</v>
      </c>
      <c r="B29" s="1">
        <v>8</v>
      </c>
      <c r="C29" s="1">
        <v>4</v>
      </c>
      <c r="D29" s="1">
        <v>3</v>
      </c>
      <c r="E29" s="20">
        <v>1</v>
      </c>
      <c r="F29" s="30">
        <v>9</v>
      </c>
      <c r="G29" s="20">
        <v>3</v>
      </c>
      <c r="H29" s="20">
        <v>3</v>
      </c>
      <c r="I29" s="20">
        <v>1</v>
      </c>
      <c r="J29" s="20">
        <v>1</v>
      </c>
      <c r="K29" s="29" t="s">
        <v>106</v>
      </c>
      <c r="L29" s="1" t="s">
        <v>129</v>
      </c>
      <c r="M29" s="1" t="s">
        <v>134</v>
      </c>
      <c r="N29" s="1" t="s">
        <v>156</v>
      </c>
      <c r="O29" s="31">
        <v>20</v>
      </c>
      <c r="P29" s="20">
        <v>13</v>
      </c>
      <c r="Q29" s="30">
        <v>7</v>
      </c>
      <c r="R29" s="29" t="s">
        <v>103</v>
      </c>
      <c r="S29" s="28" t="s">
        <v>174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147</v>
      </c>
      <c r="M31" s="1" t="s">
        <v>133</v>
      </c>
      <c r="N31" s="1" t="s">
        <v>188</v>
      </c>
      <c r="O31" s="31">
        <v>27</v>
      </c>
      <c r="P31" s="20">
        <v>28</v>
      </c>
      <c r="Q31" s="30">
        <v>-1</v>
      </c>
      <c r="R31" s="29" t="s">
        <v>101</v>
      </c>
      <c r="S31" s="28" t="s">
        <v>191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10</v>
      </c>
      <c r="C35" s="1">
        <v>8</v>
      </c>
      <c r="D35" s="1">
        <v>2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148</v>
      </c>
      <c r="L35" s="1" t="s">
        <v>114</v>
      </c>
      <c r="M35" s="1" t="s">
        <v>122</v>
      </c>
      <c r="N35" s="1" t="s">
        <v>166</v>
      </c>
      <c r="O35" s="31">
        <v>42</v>
      </c>
      <c r="P35" s="20">
        <v>24</v>
      </c>
      <c r="Q35" s="30">
        <v>18</v>
      </c>
      <c r="R35" s="29" t="s">
        <v>113</v>
      </c>
      <c r="S35" s="28" t="s">
        <v>209</v>
      </c>
    </row>
    <row r="36" spans="1:19" x14ac:dyDescent="0.3">
      <c r="A36" s="32" t="s">
        <v>20</v>
      </c>
      <c r="B36" s="1">
        <v>8</v>
      </c>
      <c r="C36" s="1">
        <v>6</v>
      </c>
      <c r="D36" s="1">
        <v>1</v>
      </c>
      <c r="E36" s="20">
        <v>1</v>
      </c>
      <c r="F36" s="30">
        <v>13</v>
      </c>
      <c r="G36" s="20">
        <v>6</v>
      </c>
      <c r="H36" s="20">
        <v>6</v>
      </c>
      <c r="I36" s="20">
        <v>0</v>
      </c>
      <c r="J36" s="20">
        <v>0</v>
      </c>
      <c r="K36" s="29" t="s">
        <v>107</v>
      </c>
      <c r="L36" s="1" t="s">
        <v>165</v>
      </c>
      <c r="M36" s="1" t="s">
        <v>171</v>
      </c>
      <c r="N36" s="1" t="s">
        <v>164</v>
      </c>
      <c r="O36" s="31">
        <v>37</v>
      </c>
      <c r="P36" s="20">
        <v>24</v>
      </c>
      <c r="Q36" s="30">
        <v>13</v>
      </c>
      <c r="R36" s="29" t="s">
        <v>93</v>
      </c>
      <c r="S36" s="28" t="s">
        <v>164</v>
      </c>
    </row>
    <row r="37" spans="1:19" x14ac:dyDescent="0.3">
      <c r="A37" s="32" t="s">
        <v>7</v>
      </c>
      <c r="B37" s="1">
        <v>9</v>
      </c>
      <c r="C37" s="1">
        <v>5</v>
      </c>
      <c r="D37" s="1">
        <v>3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170</v>
      </c>
      <c r="M37" s="1" t="s">
        <v>115</v>
      </c>
      <c r="N37" s="1" t="s">
        <v>115</v>
      </c>
      <c r="O37" s="31">
        <v>35</v>
      </c>
      <c r="P37" s="20">
        <v>31</v>
      </c>
      <c r="Q37" s="30">
        <v>4</v>
      </c>
      <c r="R37" s="29" t="s">
        <v>101</v>
      </c>
      <c r="S37" s="28" t="s">
        <v>206</v>
      </c>
    </row>
    <row r="38" spans="1:19" x14ac:dyDescent="0.3">
      <c r="A38" s="32" t="s">
        <v>8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0</v>
      </c>
      <c r="H38" s="20">
        <v>3</v>
      </c>
      <c r="I38" s="20">
        <v>1</v>
      </c>
      <c r="J38" s="20">
        <v>1</v>
      </c>
      <c r="K38" s="29" t="s">
        <v>115</v>
      </c>
      <c r="L38" s="1" t="s">
        <v>128</v>
      </c>
      <c r="M38" s="1" t="s">
        <v>98</v>
      </c>
      <c r="N38" s="1" t="s">
        <v>126</v>
      </c>
      <c r="O38" s="31">
        <v>23</v>
      </c>
      <c r="P38" s="20">
        <v>32</v>
      </c>
      <c r="Q38" s="30">
        <v>-9</v>
      </c>
      <c r="R38" s="29" t="s">
        <v>101</v>
      </c>
      <c r="S38" s="28" t="s">
        <v>218</v>
      </c>
    </row>
    <row r="39" spans="1:19" x14ac:dyDescent="0.3">
      <c r="A39" s="32" t="s">
        <v>31</v>
      </c>
      <c r="B39" s="1">
        <v>8</v>
      </c>
      <c r="C39" s="1">
        <v>4</v>
      </c>
      <c r="D39" s="1">
        <v>4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114</v>
      </c>
      <c r="M39" s="1" t="s">
        <v>115</v>
      </c>
      <c r="N39" s="1" t="s">
        <v>126</v>
      </c>
      <c r="O39" s="31">
        <v>24</v>
      </c>
      <c r="P39" s="20">
        <v>26</v>
      </c>
      <c r="Q39" s="30">
        <v>-2</v>
      </c>
      <c r="R39" s="29" t="s">
        <v>109</v>
      </c>
      <c r="S39" s="28" t="s">
        <v>197</v>
      </c>
    </row>
    <row r="40" spans="1:19" x14ac:dyDescent="0.3">
      <c r="A40" s="32" t="s">
        <v>3</v>
      </c>
      <c r="B40" s="1">
        <v>10</v>
      </c>
      <c r="C40" s="1">
        <v>2</v>
      </c>
      <c r="D40" s="1">
        <v>7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207</v>
      </c>
      <c r="M40" s="1" t="s">
        <v>115</v>
      </c>
      <c r="N40" s="1" t="s">
        <v>115</v>
      </c>
      <c r="O40" s="31">
        <v>30</v>
      </c>
      <c r="P40" s="20">
        <v>45</v>
      </c>
      <c r="Q40" s="30">
        <v>-15</v>
      </c>
      <c r="R40" s="29" t="s">
        <v>154</v>
      </c>
      <c r="S40" s="28" t="s">
        <v>208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108</v>
      </c>
      <c r="M42" s="26" t="s">
        <v>108</v>
      </c>
      <c r="N42" s="26" t="s">
        <v>116</v>
      </c>
      <c r="O42" s="25">
        <v>12</v>
      </c>
      <c r="P42" s="24">
        <v>25</v>
      </c>
      <c r="Q42" s="23">
        <v>-13</v>
      </c>
      <c r="R42" s="22" t="s">
        <v>142</v>
      </c>
      <c r="S42" s="21" t="s">
        <v>141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31B641-B7A9-4A5B-9BFF-DCFD340B0C90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B7D89-DE27-4F50-9776-FB7B14EAB8A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5</v>
      </c>
      <c r="B5" s="1">
        <v>9</v>
      </c>
      <c r="C5" s="1">
        <v>7</v>
      </c>
      <c r="D5" s="1">
        <v>2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165</v>
      </c>
      <c r="L5" s="1" t="s">
        <v>115</v>
      </c>
      <c r="M5" s="1" t="s">
        <v>92</v>
      </c>
      <c r="N5" s="1" t="s">
        <v>126</v>
      </c>
      <c r="O5" s="31">
        <v>31</v>
      </c>
      <c r="P5" s="20">
        <v>23</v>
      </c>
      <c r="Q5" s="30">
        <v>8</v>
      </c>
      <c r="R5" s="29" t="s">
        <v>113</v>
      </c>
      <c r="S5" s="28" t="s">
        <v>190</v>
      </c>
    </row>
    <row r="6" spans="1:20" x14ac:dyDescent="0.3">
      <c r="A6" s="32" t="s">
        <v>19</v>
      </c>
      <c r="B6" s="1">
        <v>9</v>
      </c>
      <c r="C6" s="1">
        <v>5</v>
      </c>
      <c r="D6" s="1">
        <v>2</v>
      </c>
      <c r="E6" s="20">
        <v>2</v>
      </c>
      <c r="F6" s="30">
        <v>12</v>
      </c>
      <c r="G6" s="31">
        <v>3</v>
      </c>
      <c r="H6" s="20">
        <v>5</v>
      </c>
      <c r="I6" s="20">
        <v>0</v>
      </c>
      <c r="J6" s="30">
        <v>0</v>
      </c>
      <c r="K6" s="29" t="s">
        <v>105</v>
      </c>
      <c r="L6" s="1" t="s">
        <v>161</v>
      </c>
      <c r="M6" s="1" t="s">
        <v>95</v>
      </c>
      <c r="N6" s="1" t="s">
        <v>105</v>
      </c>
      <c r="O6" s="31">
        <v>30</v>
      </c>
      <c r="P6" s="20">
        <v>25</v>
      </c>
      <c r="Q6" s="30">
        <v>5</v>
      </c>
      <c r="R6" s="29" t="s">
        <v>113</v>
      </c>
      <c r="S6" s="28" t="s">
        <v>193</v>
      </c>
    </row>
    <row r="7" spans="1:20" x14ac:dyDescent="0.3">
      <c r="A7" s="32" t="s">
        <v>11</v>
      </c>
      <c r="B7" s="1">
        <v>9</v>
      </c>
      <c r="C7" s="1">
        <v>6</v>
      </c>
      <c r="D7" s="1">
        <v>3</v>
      </c>
      <c r="E7" s="20">
        <v>0</v>
      </c>
      <c r="F7" s="30">
        <v>12</v>
      </c>
      <c r="G7" s="31">
        <v>4</v>
      </c>
      <c r="H7" s="20">
        <v>4</v>
      </c>
      <c r="I7" s="20">
        <v>2</v>
      </c>
      <c r="J7" s="30">
        <v>0</v>
      </c>
      <c r="K7" s="29" t="s">
        <v>114</v>
      </c>
      <c r="L7" s="1" t="s">
        <v>126</v>
      </c>
      <c r="M7" s="1" t="s">
        <v>105</v>
      </c>
      <c r="N7" s="1" t="s">
        <v>152</v>
      </c>
      <c r="O7" s="31">
        <v>24</v>
      </c>
      <c r="P7" s="20">
        <v>23</v>
      </c>
      <c r="Q7" s="30">
        <v>1</v>
      </c>
      <c r="R7" s="29" t="s">
        <v>96</v>
      </c>
      <c r="S7" s="28" t="s">
        <v>178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4</v>
      </c>
      <c r="H8" s="20">
        <v>5</v>
      </c>
      <c r="I8" s="20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9</v>
      </c>
      <c r="C9" s="1">
        <v>4</v>
      </c>
      <c r="D9" s="1">
        <v>3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126</v>
      </c>
      <c r="L9" s="1" t="s">
        <v>159</v>
      </c>
      <c r="M9" s="1" t="s">
        <v>118</v>
      </c>
      <c r="N9" s="1" t="s">
        <v>137</v>
      </c>
      <c r="O9" s="31">
        <v>27</v>
      </c>
      <c r="P9" s="20">
        <v>34</v>
      </c>
      <c r="Q9" s="30">
        <v>-7</v>
      </c>
      <c r="R9" s="29" t="s">
        <v>96</v>
      </c>
      <c r="S9" s="28" t="s">
        <v>192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1">
        <v>9</v>
      </c>
      <c r="C18" s="1">
        <v>5</v>
      </c>
      <c r="D18" s="1">
        <v>4</v>
      </c>
      <c r="E18" s="20">
        <v>0</v>
      </c>
      <c r="F18" s="30">
        <v>10</v>
      </c>
      <c r="G18" s="20">
        <v>5</v>
      </c>
      <c r="H18" s="20">
        <v>5</v>
      </c>
      <c r="I18" s="20">
        <v>0</v>
      </c>
      <c r="J18" s="20">
        <v>0</v>
      </c>
      <c r="K18" s="29" t="s">
        <v>135</v>
      </c>
      <c r="L18" s="1" t="s">
        <v>106</v>
      </c>
      <c r="M18" s="1" t="s">
        <v>122</v>
      </c>
      <c r="N18" s="1" t="s">
        <v>152</v>
      </c>
      <c r="O18" s="31">
        <v>30</v>
      </c>
      <c r="P18" s="20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11</v>
      </c>
      <c r="C19" s="1">
        <v>2</v>
      </c>
      <c r="D19" s="1">
        <v>6</v>
      </c>
      <c r="E19" s="20">
        <v>3</v>
      </c>
      <c r="F19" s="30">
        <v>7</v>
      </c>
      <c r="G19" s="20">
        <v>2</v>
      </c>
      <c r="H19" s="20">
        <v>2</v>
      </c>
      <c r="I19" s="20">
        <v>0</v>
      </c>
      <c r="J19" s="20">
        <v>1</v>
      </c>
      <c r="K19" s="29" t="s">
        <v>157</v>
      </c>
      <c r="L19" s="1" t="s">
        <v>179</v>
      </c>
      <c r="M19" s="1" t="s">
        <v>116</v>
      </c>
      <c r="N19" s="1" t="s">
        <v>200</v>
      </c>
      <c r="O19" s="31">
        <v>17</v>
      </c>
      <c r="P19" s="20">
        <v>36</v>
      </c>
      <c r="Q19" s="30">
        <v>-19</v>
      </c>
      <c r="R19" s="29" t="s">
        <v>103</v>
      </c>
      <c r="S19" s="28" t="s">
        <v>215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D6FF73-2178-4723-AD6D-193EE4ABAD6B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851C3-BD0F-460B-BAC4-6D5597D9E5E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11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122</v>
      </c>
      <c r="L5" s="1" t="s">
        <v>126</v>
      </c>
      <c r="M5" s="1" t="s">
        <v>114</v>
      </c>
      <c r="N5" s="1" t="s">
        <v>166</v>
      </c>
      <c r="O5" s="31">
        <v>29</v>
      </c>
      <c r="P5" s="20">
        <v>24</v>
      </c>
      <c r="Q5" s="30">
        <v>5</v>
      </c>
      <c r="R5" s="29" t="s">
        <v>93</v>
      </c>
      <c r="S5" s="28" t="s">
        <v>217</v>
      </c>
    </row>
    <row r="6" spans="1:20" x14ac:dyDescent="0.3">
      <c r="A6" s="32" t="s">
        <v>5</v>
      </c>
      <c r="B6" s="1">
        <v>9</v>
      </c>
      <c r="C6" s="1">
        <v>7</v>
      </c>
      <c r="D6" s="1">
        <v>2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115</v>
      </c>
      <c r="M6" s="1" t="s">
        <v>92</v>
      </c>
      <c r="N6" s="1" t="s">
        <v>126</v>
      </c>
      <c r="O6" s="31">
        <v>31</v>
      </c>
      <c r="P6" s="20">
        <v>23</v>
      </c>
      <c r="Q6" s="30">
        <v>8</v>
      </c>
      <c r="R6" s="29" t="s">
        <v>113</v>
      </c>
      <c r="S6" s="28" t="s">
        <v>190</v>
      </c>
    </row>
    <row r="7" spans="1:20" x14ac:dyDescent="0.3">
      <c r="A7" s="32" t="s">
        <v>19</v>
      </c>
      <c r="B7" s="1">
        <v>10</v>
      </c>
      <c r="C7" s="1">
        <v>5</v>
      </c>
      <c r="D7" s="1">
        <v>3</v>
      </c>
      <c r="E7" s="20">
        <v>2</v>
      </c>
      <c r="F7" s="30">
        <v>12</v>
      </c>
      <c r="G7" s="31">
        <v>3</v>
      </c>
      <c r="H7" s="20">
        <v>5</v>
      </c>
      <c r="I7" s="20">
        <v>0</v>
      </c>
      <c r="J7" s="30">
        <v>0</v>
      </c>
      <c r="K7" s="29" t="s">
        <v>105</v>
      </c>
      <c r="L7" s="1" t="s">
        <v>162</v>
      </c>
      <c r="M7" s="1" t="s">
        <v>102</v>
      </c>
      <c r="N7" s="1" t="s">
        <v>115</v>
      </c>
      <c r="O7" s="31">
        <v>31</v>
      </c>
      <c r="P7" s="20">
        <v>30</v>
      </c>
      <c r="Q7" s="30">
        <v>1</v>
      </c>
      <c r="R7" s="29" t="s">
        <v>96</v>
      </c>
      <c r="S7" s="28" t="s">
        <v>220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52">
        <v>2</v>
      </c>
      <c r="F8" s="30">
        <v>12</v>
      </c>
      <c r="G8" s="31">
        <v>4</v>
      </c>
      <c r="H8" s="52">
        <v>5</v>
      </c>
      <c r="I8" s="52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156</v>
      </c>
      <c r="L9" s="1" t="s">
        <v>159</v>
      </c>
      <c r="M9" s="1" t="s">
        <v>118</v>
      </c>
      <c r="N9" s="1" t="s">
        <v>157</v>
      </c>
      <c r="O9" s="31">
        <v>28</v>
      </c>
      <c r="P9" s="20">
        <v>37</v>
      </c>
      <c r="Q9" s="30">
        <v>-9</v>
      </c>
      <c r="R9" s="29" t="s">
        <v>101</v>
      </c>
      <c r="S9" s="28" t="s">
        <v>213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53">
        <v>9</v>
      </c>
      <c r="C18" s="53">
        <v>5</v>
      </c>
      <c r="D18" s="53">
        <v>4</v>
      </c>
      <c r="E18" s="52">
        <v>0</v>
      </c>
      <c r="F18" s="30">
        <v>10</v>
      </c>
      <c r="G18" s="52">
        <v>5</v>
      </c>
      <c r="H18" s="52">
        <v>5</v>
      </c>
      <c r="I18" s="52">
        <v>0</v>
      </c>
      <c r="J18" s="52">
        <v>0</v>
      </c>
      <c r="K18" s="29" t="s">
        <v>135</v>
      </c>
      <c r="L18" s="53" t="s">
        <v>106</v>
      </c>
      <c r="M18" s="53" t="s">
        <v>122</v>
      </c>
      <c r="N18" s="53" t="s">
        <v>152</v>
      </c>
      <c r="O18" s="31">
        <v>30</v>
      </c>
      <c r="P18" s="52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FFFF07-9A35-4504-8F09-BBEEB443B2B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DF232-90A3-4DAE-BE32-89DE9B1B878B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10</v>
      </c>
      <c r="C4" s="40">
        <v>7</v>
      </c>
      <c r="D4" s="40">
        <v>2</v>
      </c>
      <c r="E4" s="38">
        <v>1</v>
      </c>
      <c r="F4" s="33">
        <v>15</v>
      </c>
      <c r="G4" s="39">
        <v>6</v>
      </c>
      <c r="H4" s="38">
        <v>7</v>
      </c>
      <c r="I4" s="38">
        <v>0</v>
      </c>
      <c r="J4" s="33">
        <v>0</v>
      </c>
      <c r="K4" s="37" t="s">
        <v>114</v>
      </c>
      <c r="L4" s="40" t="s">
        <v>139</v>
      </c>
      <c r="M4" s="40" t="s">
        <v>95</v>
      </c>
      <c r="N4" s="40" t="s">
        <v>105</v>
      </c>
      <c r="O4" s="39">
        <v>36</v>
      </c>
      <c r="P4" s="38">
        <v>22</v>
      </c>
      <c r="Q4" s="33">
        <v>14</v>
      </c>
      <c r="R4" s="37" t="s">
        <v>96</v>
      </c>
      <c r="S4" s="36" t="s">
        <v>210</v>
      </c>
    </row>
    <row r="5" spans="1:20" x14ac:dyDescent="0.3">
      <c r="A5" s="32" t="s">
        <v>11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5</v>
      </c>
      <c r="H5" s="20">
        <v>5</v>
      </c>
      <c r="I5" s="20">
        <v>2</v>
      </c>
      <c r="J5" s="30">
        <v>0</v>
      </c>
      <c r="K5" s="29" t="s">
        <v>122</v>
      </c>
      <c r="L5" s="1" t="s">
        <v>126</v>
      </c>
      <c r="M5" s="1" t="s">
        <v>114</v>
      </c>
      <c r="N5" s="1" t="s">
        <v>166</v>
      </c>
      <c r="O5" s="31">
        <v>29</v>
      </c>
      <c r="P5" s="20">
        <v>24</v>
      </c>
      <c r="Q5" s="30">
        <v>5</v>
      </c>
      <c r="R5" s="29" t="s">
        <v>93</v>
      </c>
      <c r="S5" s="28" t="s">
        <v>217</v>
      </c>
    </row>
    <row r="6" spans="1:20" x14ac:dyDescent="0.3">
      <c r="A6" s="32" t="s">
        <v>5</v>
      </c>
      <c r="B6" s="1">
        <v>9</v>
      </c>
      <c r="C6" s="1">
        <v>7</v>
      </c>
      <c r="D6" s="1">
        <v>2</v>
      </c>
      <c r="E6" s="20">
        <v>0</v>
      </c>
      <c r="F6" s="30">
        <v>14</v>
      </c>
      <c r="G6" s="31">
        <v>6</v>
      </c>
      <c r="H6" s="20">
        <v>7</v>
      </c>
      <c r="I6" s="20">
        <v>0</v>
      </c>
      <c r="J6" s="30">
        <v>0</v>
      </c>
      <c r="K6" s="29" t="s">
        <v>165</v>
      </c>
      <c r="L6" s="1" t="s">
        <v>115</v>
      </c>
      <c r="M6" s="1" t="s">
        <v>92</v>
      </c>
      <c r="N6" s="1" t="s">
        <v>126</v>
      </c>
      <c r="O6" s="31">
        <v>31</v>
      </c>
      <c r="P6" s="20">
        <v>23</v>
      </c>
      <c r="Q6" s="30">
        <v>8</v>
      </c>
      <c r="R6" s="29" t="s">
        <v>113</v>
      </c>
      <c r="S6" s="28" t="s">
        <v>190</v>
      </c>
    </row>
    <row r="7" spans="1:20" x14ac:dyDescent="0.3">
      <c r="A7" s="32" t="s">
        <v>19</v>
      </c>
      <c r="B7" s="1">
        <v>10</v>
      </c>
      <c r="C7" s="1">
        <v>5</v>
      </c>
      <c r="D7" s="1">
        <v>3</v>
      </c>
      <c r="E7" s="20">
        <v>2</v>
      </c>
      <c r="F7" s="30">
        <v>12</v>
      </c>
      <c r="G7" s="31">
        <v>3</v>
      </c>
      <c r="H7" s="20">
        <v>5</v>
      </c>
      <c r="I7" s="20">
        <v>0</v>
      </c>
      <c r="J7" s="30">
        <v>0</v>
      </c>
      <c r="K7" s="29" t="s">
        <v>105</v>
      </c>
      <c r="L7" s="1" t="s">
        <v>162</v>
      </c>
      <c r="M7" s="1" t="s">
        <v>102</v>
      </c>
      <c r="N7" s="1" t="s">
        <v>115</v>
      </c>
      <c r="O7" s="31">
        <v>31</v>
      </c>
      <c r="P7" s="20">
        <v>30</v>
      </c>
      <c r="Q7" s="30">
        <v>1</v>
      </c>
      <c r="R7" s="29" t="s">
        <v>96</v>
      </c>
      <c r="S7" s="28" t="s">
        <v>220</v>
      </c>
    </row>
    <row r="8" spans="1:20" x14ac:dyDescent="0.3">
      <c r="A8" s="32" t="s">
        <v>4</v>
      </c>
      <c r="B8" s="1">
        <v>11</v>
      </c>
      <c r="C8" s="1">
        <v>5</v>
      </c>
      <c r="D8" s="1">
        <v>4</v>
      </c>
      <c r="E8" s="52">
        <v>2</v>
      </c>
      <c r="F8" s="30">
        <v>12</v>
      </c>
      <c r="G8" s="31">
        <v>4</v>
      </c>
      <c r="H8" s="52">
        <v>5</v>
      </c>
      <c r="I8" s="52">
        <v>0</v>
      </c>
      <c r="J8" s="30">
        <v>1</v>
      </c>
      <c r="K8" s="29" t="s">
        <v>158</v>
      </c>
      <c r="L8" s="1" t="s">
        <v>119</v>
      </c>
      <c r="M8" s="1" t="s">
        <v>124</v>
      </c>
      <c r="N8" s="1" t="s">
        <v>169</v>
      </c>
      <c r="O8" s="31">
        <v>38</v>
      </c>
      <c r="P8" s="20">
        <v>35</v>
      </c>
      <c r="Q8" s="30">
        <v>3</v>
      </c>
      <c r="R8" s="29" t="s">
        <v>103</v>
      </c>
      <c r="S8" s="28" t="s">
        <v>220</v>
      </c>
    </row>
    <row r="9" spans="1:20" x14ac:dyDescent="0.3">
      <c r="A9" s="32" t="s">
        <v>28</v>
      </c>
      <c r="B9" s="1">
        <v>10</v>
      </c>
      <c r="C9" s="1">
        <v>4</v>
      </c>
      <c r="D9" s="1">
        <v>4</v>
      </c>
      <c r="E9" s="20">
        <v>2</v>
      </c>
      <c r="F9" s="30">
        <v>10</v>
      </c>
      <c r="G9" s="31">
        <v>2</v>
      </c>
      <c r="H9" s="20">
        <v>4</v>
      </c>
      <c r="I9" s="20">
        <v>0</v>
      </c>
      <c r="J9" s="30">
        <v>1</v>
      </c>
      <c r="K9" s="29" t="s">
        <v>156</v>
      </c>
      <c r="L9" s="1" t="s">
        <v>159</v>
      </c>
      <c r="M9" s="1" t="s">
        <v>118</v>
      </c>
      <c r="N9" s="1" t="s">
        <v>157</v>
      </c>
      <c r="O9" s="31">
        <v>28</v>
      </c>
      <c r="P9" s="20">
        <v>37</v>
      </c>
      <c r="Q9" s="30">
        <v>-9</v>
      </c>
      <c r="R9" s="29" t="s">
        <v>101</v>
      </c>
      <c r="S9" s="28" t="s">
        <v>213</v>
      </c>
    </row>
    <row r="10" spans="1:20" x14ac:dyDescent="0.3">
      <c r="A10" s="32" t="s">
        <v>16</v>
      </c>
      <c r="B10" s="1">
        <v>9</v>
      </c>
      <c r="C10" s="1">
        <v>4</v>
      </c>
      <c r="D10" s="1">
        <v>3</v>
      </c>
      <c r="E10" s="20">
        <v>2</v>
      </c>
      <c r="F10" s="30">
        <v>10</v>
      </c>
      <c r="G10" s="31">
        <v>1</v>
      </c>
      <c r="H10" s="20">
        <v>2</v>
      </c>
      <c r="I10" s="20">
        <v>2</v>
      </c>
      <c r="J10" s="30">
        <v>0</v>
      </c>
      <c r="K10" s="29" t="s">
        <v>138</v>
      </c>
      <c r="L10" s="1" t="s">
        <v>107</v>
      </c>
      <c r="M10" s="1" t="s">
        <v>149</v>
      </c>
      <c r="N10" s="1" t="s">
        <v>170</v>
      </c>
      <c r="O10" s="31">
        <v>30</v>
      </c>
      <c r="P10" s="20">
        <v>34</v>
      </c>
      <c r="Q10" s="30">
        <v>-4</v>
      </c>
      <c r="R10" s="29" t="s">
        <v>96</v>
      </c>
      <c r="S10" s="28" t="s">
        <v>192</v>
      </c>
    </row>
    <row r="11" spans="1:20" ht="15" thickBot="1" x14ac:dyDescent="0.35">
      <c r="A11" s="32" t="s">
        <v>21</v>
      </c>
      <c r="B11" s="1">
        <v>9</v>
      </c>
      <c r="C11" s="1">
        <v>3</v>
      </c>
      <c r="D11" s="1">
        <v>3</v>
      </c>
      <c r="E11" s="24">
        <v>3</v>
      </c>
      <c r="F11" s="23">
        <v>9</v>
      </c>
      <c r="G11" s="25">
        <v>2</v>
      </c>
      <c r="H11" s="24">
        <v>2</v>
      </c>
      <c r="I11" s="24">
        <v>1</v>
      </c>
      <c r="J11" s="23">
        <v>2</v>
      </c>
      <c r="K11" s="29" t="s">
        <v>158</v>
      </c>
      <c r="L11" s="1" t="s">
        <v>146</v>
      </c>
      <c r="M11" s="1" t="s">
        <v>99</v>
      </c>
      <c r="N11" s="1" t="s">
        <v>137</v>
      </c>
      <c r="O11" s="31">
        <v>23</v>
      </c>
      <c r="P11" s="20">
        <v>28</v>
      </c>
      <c r="Q11" s="30">
        <v>-5</v>
      </c>
      <c r="R11" s="29" t="s">
        <v>96</v>
      </c>
      <c r="S11" s="28" t="s">
        <v>219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11</v>
      </c>
      <c r="C14" s="1">
        <v>8</v>
      </c>
      <c r="D14" s="1">
        <v>2</v>
      </c>
      <c r="E14" s="20">
        <v>1</v>
      </c>
      <c r="F14" s="33">
        <v>17</v>
      </c>
      <c r="G14" s="20">
        <v>7</v>
      </c>
      <c r="H14" s="20">
        <v>8</v>
      </c>
      <c r="I14" s="20">
        <v>0</v>
      </c>
      <c r="J14" s="20">
        <v>0</v>
      </c>
      <c r="K14" s="29" t="s">
        <v>119</v>
      </c>
      <c r="L14" s="1" t="s">
        <v>221</v>
      </c>
      <c r="M14" s="1" t="s">
        <v>114</v>
      </c>
      <c r="N14" s="1" t="s">
        <v>139</v>
      </c>
      <c r="O14" s="31">
        <v>42</v>
      </c>
      <c r="P14" s="20">
        <v>27</v>
      </c>
      <c r="Q14" s="30">
        <v>15</v>
      </c>
      <c r="R14" s="29" t="s">
        <v>93</v>
      </c>
      <c r="S14" s="28" t="s">
        <v>209</v>
      </c>
    </row>
    <row r="15" spans="1:20" x14ac:dyDescent="0.3">
      <c r="A15" s="32" t="s">
        <v>12</v>
      </c>
      <c r="B15" s="1">
        <v>11</v>
      </c>
      <c r="C15" s="1">
        <v>7</v>
      </c>
      <c r="D15" s="1">
        <v>3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0</v>
      </c>
      <c r="K15" s="29" t="s">
        <v>214</v>
      </c>
      <c r="L15" s="1" t="s">
        <v>136</v>
      </c>
      <c r="M15" s="1" t="s">
        <v>127</v>
      </c>
      <c r="N15" s="1" t="s">
        <v>174</v>
      </c>
      <c r="O15" s="31">
        <v>33</v>
      </c>
      <c r="P15" s="20">
        <v>24</v>
      </c>
      <c r="Q15" s="30">
        <v>9</v>
      </c>
      <c r="R15" s="29" t="s">
        <v>93</v>
      </c>
      <c r="S15" s="28" t="s">
        <v>210</v>
      </c>
    </row>
    <row r="16" spans="1:20" x14ac:dyDescent="0.3">
      <c r="A16" s="32" t="s">
        <v>13</v>
      </c>
      <c r="B16" s="1">
        <v>9</v>
      </c>
      <c r="C16" s="1">
        <v>5</v>
      </c>
      <c r="D16" s="1">
        <v>3</v>
      </c>
      <c r="E16" s="20">
        <v>1</v>
      </c>
      <c r="F16" s="30">
        <v>11</v>
      </c>
      <c r="G16" s="20">
        <v>5</v>
      </c>
      <c r="H16" s="20">
        <v>5</v>
      </c>
      <c r="I16" s="20">
        <v>0</v>
      </c>
      <c r="J16" s="20">
        <v>1</v>
      </c>
      <c r="K16" s="29" t="s">
        <v>122</v>
      </c>
      <c r="L16" s="1" t="s">
        <v>127</v>
      </c>
      <c r="M16" s="1" t="s">
        <v>98</v>
      </c>
      <c r="N16" s="1" t="s">
        <v>169</v>
      </c>
      <c r="O16" s="31">
        <v>27</v>
      </c>
      <c r="P16" s="20">
        <v>20</v>
      </c>
      <c r="Q16" s="30">
        <v>7</v>
      </c>
      <c r="R16" s="29" t="s">
        <v>103</v>
      </c>
      <c r="S16" s="28" t="s">
        <v>206</v>
      </c>
    </row>
    <row r="17" spans="1:19" x14ac:dyDescent="0.3">
      <c r="A17" s="32" t="s">
        <v>14</v>
      </c>
      <c r="B17" s="1">
        <v>9</v>
      </c>
      <c r="C17" s="1">
        <v>5</v>
      </c>
      <c r="D17" s="1">
        <v>4</v>
      </c>
      <c r="E17" s="20">
        <v>0</v>
      </c>
      <c r="F17" s="30">
        <v>10</v>
      </c>
      <c r="G17" s="20">
        <v>3</v>
      </c>
      <c r="H17" s="20">
        <v>5</v>
      </c>
      <c r="I17" s="20">
        <v>0</v>
      </c>
      <c r="J17" s="20">
        <v>0</v>
      </c>
      <c r="K17" s="29" t="s">
        <v>135</v>
      </c>
      <c r="L17" s="1" t="s">
        <v>106</v>
      </c>
      <c r="M17" s="1" t="s">
        <v>115</v>
      </c>
      <c r="N17" s="1" t="s">
        <v>156</v>
      </c>
      <c r="O17" s="31">
        <v>29</v>
      </c>
      <c r="P17" s="20">
        <v>30</v>
      </c>
      <c r="Q17" s="30">
        <v>-1</v>
      </c>
      <c r="R17" s="29" t="s">
        <v>93</v>
      </c>
      <c r="S17" s="28" t="s">
        <v>222</v>
      </c>
    </row>
    <row r="18" spans="1:19" x14ac:dyDescent="0.3">
      <c r="A18" s="32" t="s">
        <v>1</v>
      </c>
      <c r="B18" s="53">
        <v>9</v>
      </c>
      <c r="C18" s="53">
        <v>5</v>
      </c>
      <c r="D18" s="53">
        <v>4</v>
      </c>
      <c r="E18" s="52">
        <v>0</v>
      </c>
      <c r="F18" s="30">
        <v>10</v>
      </c>
      <c r="G18" s="52">
        <v>5</v>
      </c>
      <c r="H18" s="52">
        <v>5</v>
      </c>
      <c r="I18" s="52">
        <v>0</v>
      </c>
      <c r="J18" s="52">
        <v>0</v>
      </c>
      <c r="K18" s="29" t="s">
        <v>135</v>
      </c>
      <c r="L18" s="53" t="s">
        <v>106</v>
      </c>
      <c r="M18" s="53" t="s">
        <v>122</v>
      </c>
      <c r="N18" s="53" t="s">
        <v>152</v>
      </c>
      <c r="O18" s="31">
        <v>30</v>
      </c>
      <c r="P18" s="52">
        <v>29</v>
      </c>
      <c r="Q18" s="30">
        <v>1</v>
      </c>
      <c r="R18" s="29" t="s">
        <v>96</v>
      </c>
      <c r="S18" s="28" t="s">
        <v>222</v>
      </c>
    </row>
    <row r="19" spans="1:19" x14ac:dyDescent="0.3">
      <c r="A19" s="32" t="s">
        <v>10</v>
      </c>
      <c r="B19" s="1">
        <v>12</v>
      </c>
      <c r="C19" s="1">
        <v>3</v>
      </c>
      <c r="D19" s="1">
        <v>6</v>
      </c>
      <c r="E19" s="20">
        <v>3</v>
      </c>
      <c r="F19" s="30">
        <v>9</v>
      </c>
      <c r="G19" s="20">
        <v>3</v>
      </c>
      <c r="H19" s="20">
        <v>3</v>
      </c>
      <c r="I19" s="20">
        <v>0</v>
      </c>
      <c r="J19" s="20">
        <v>1</v>
      </c>
      <c r="K19" s="29" t="s">
        <v>157</v>
      </c>
      <c r="L19" s="1" t="s">
        <v>188</v>
      </c>
      <c r="M19" s="1" t="s">
        <v>116</v>
      </c>
      <c r="N19" s="1" t="s">
        <v>229</v>
      </c>
      <c r="O19" s="31">
        <v>20</v>
      </c>
      <c r="P19" s="20">
        <v>37</v>
      </c>
      <c r="Q19" s="30">
        <v>-17</v>
      </c>
      <c r="R19" s="29" t="s">
        <v>113</v>
      </c>
      <c r="S19" s="28" t="s">
        <v>230</v>
      </c>
    </row>
    <row r="20" spans="1:19" x14ac:dyDescent="0.3">
      <c r="A20" s="32" t="s">
        <v>9</v>
      </c>
      <c r="B20" s="1">
        <v>10</v>
      </c>
      <c r="C20" s="1">
        <v>3</v>
      </c>
      <c r="D20" s="1">
        <v>6</v>
      </c>
      <c r="E20" s="20">
        <v>1</v>
      </c>
      <c r="F20" s="30">
        <v>7</v>
      </c>
      <c r="G20" s="20">
        <v>1</v>
      </c>
      <c r="H20" s="20">
        <v>2</v>
      </c>
      <c r="I20" s="20">
        <v>1</v>
      </c>
      <c r="J20" s="20">
        <v>1</v>
      </c>
      <c r="K20" s="29" t="s">
        <v>105</v>
      </c>
      <c r="L20" s="1" t="s">
        <v>207</v>
      </c>
      <c r="M20" s="1" t="s">
        <v>107</v>
      </c>
      <c r="N20" s="1" t="s">
        <v>119</v>
      </c>
      <c r="O20" s="31">
        <v>33</v>
      </c>
      <c r="P20" s="20">
        <v>38</v>
      </c>
      <c r="Q20" s="30">
        <v>-5</v>
      </c>
      <c r="R20" s="29" t="s">
        <v>117</v>
      </c>
      <c r="S20" s="28" t="s">
        <v>216</v>
      </c>
    </row>
    <row r="21" spans="1:19" ht="15" thickBot="1" x14ac:dyDescent="0.35">
      <c r="A21" s="27" t="s">
        <v>23</v>
      </c>
      <c r="B21" s="26">
        <v>8</v>
      </c>
      <c r="C21" s="26">
        <v>3</v>
      </c>
      <c r="D21" s="26">
        <v>5</v>
      </c>
      <c r="E21" s="24">
        <v>0</v>
      </c>
      <c r="F21" s="23">
        <v>6</v>
      </c>
      <c r="G21" s="24">
        <v>1</v>
      </c>
      <c r="H21" s="24">
        <v>2</v>
      </c>
      <c r="I21" s="24">
        <v>1</v>
      </c>
      <c r="J21" s="24">
        <v>0</v>
      </c>
      <c r="K21" s="22" t="s">
        <v>156</v>
      </c>
      <c r="L21" s="26" t="s">
        <v>102</v>
      </c>
      <c r="M21" s="26" t="s">
        <v>104</v>
      </c>
      <c r="N21" s="26" t="s">
        <v>126</v>
      </c>
      <c r="O21" s="25">
        <v>20</v>
      </c>
      <c r="P21" s="24">
        <v>29</v>
      </c>
      <c r="Q21" s="23">
        <v>-9</v>
      </c>
      <c r="R21" s="22" t="s">
        <v>101</v>
      </c>
      <c r="S21" s="21" t="s">
        <v>183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10</v>
      </c>
      <c r="C25" s="1">
        <v>6</v>
      </c>
      <c r="D25" s="1">
        <v>2</v>
      </c>
      <c r="E25" s="20">
        <v>2</v>
      </c>
      <c r="F25" s="30">
        <v>14</v>
      </c>
      <c r="G25" s="20">
        <v>6</v>
      </c>
      <c r="H25" s="20">
        <v>6</v>
      </c>
      <c r="I25" s="20">
        <v>0</v>
      </c>
      <c r="J25" s="20">
        <v>0</v>
      </c>
      <c r="K25" s="29" t="s">
        <v>149</v>
      </c>
      <c r="L25" s="1" t="s">
        <v>157</v>
      </c>
      <c r="M25" s="1" t="s">
        <v>105</v>
      </c>
      <c r="N25" s="1" t="s">
        <v>129</v>
      </c>
      <c r="O25" s="31">
        <v>31</v>
      </c>
      <c r="P25" s="20">
        <v>25</v>
      </c>
      <c r="Q25" s="30">
        <v>6</v>
      </c>
      <c r="R25" s="29" t="s">
        <v>96</v>
      </c>
      <c r="S25" s="28" t="s">
        <v>224</v>
      </c>
    </row>
    <row r="26" spans="1:19" x14ac:dyDescent="0.3">
      <c r="A26" s="32" t="s">
        <v>89</v>
      </c>
      <c r="B26" s="1">
        <v>10</v>
      </c>
      <c r="C26" s="1">
        <v>7</v>
      </c>
      <c r="D26" s="1">
        <v>3</v>
      </c>
      <c r="E26" s="20">
        <v>0</v>
      </c>
      <c r="F26" s="30">
        <v>14</v>
      </c>
      <c r="G26" s="20">
        <v>7</v>
      </c>
      <c r="H26" s="20">
        <v>7</v>
      </c>
      <c r="I26" s="20">
        <v>0</v>
      </c>
      <c r="J26" s="20">
        <v>0</v>
      </c>
      <c r="K26" s="29" t="s">
        <v>114</v>
      </c>
      <c r="L26" s="1" t="s">
        <v>135</v>
      </c>
      <c r="M26" s="1" t="s">
        <v>91</v>
      </c>
      <c r="N26" s="1" t="s">
        <v>105</v>
      </c>
      <c r="O26" s="31">
        <v>38</v>
      </c>
      <c r="P26" s="20">
        <v>31</v>
      </c>
      <c r="Q26" s="30">
        <v>7</v>
      </c>
      <c r="R26" s="29" t="s">
        <v>93</v>
      </c>
      <c r="S26" s="28" t="s">
        <v>217</v>
      </c>
    </row>
    <row r="27" spans="1:19" x14ac:dyDescent="0.3">
      <c r="A27" s="32" t="s">
        <v>24</v>
      </c>
      <c r="B27" s="1">
        <v>10</v>
      </c>
      <c r="C27" s="1">
        <v>5</v>
      </c>
      <c r="D27" s="1">
        <v>4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1</v>
      </c>
      <c r="K27" s="29" t="s">
        <v>129</v>
      </c>
      <c r="L27" s="1" t="s">
        <v>134</v>
      </c>
      <c r="M27" s="1" t="s">
        <v>119</v>
      </c>
      <c r="N27" s="1" t="s">
        <v>139</v>
      </c>
      <c r="O27" s="31">
        <v>41</v>
      </c>
      <c r="P27" s="20">
        <v>31</v>
      </c>
      <c r="Q27" s="30">
        <v>10</v>
      </c>
      <c r="R27" s="29" t="s">
        <v>101</v>
      </c>
      <c r="S27" s="28" t="s">
        <v>223</v>
      </c>
    </row>
    <row r="28" spans="1:19" x14ac:dyDescent="0.3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1</v>
      </c>
      <c r="K28" s="29" t="s">
        <v>115</v>
      </c>
      <c r="L28" s="1" t="s">
        <v>129</v>
      </c>
      <c r="M28" s="1" t="s">
        <v>134</v>
      </c>
      <c r="N28" s="1" t="s">
        <v>156</v>
      </c>
      <c r="O28" s="31">
        <v>23</v>
      </c>
      <c r="P28" s="20">
        <v>15</v>
      </c>
      <c r="Q28" s="30">
        <v>8</v>
      </c>
      <c r="R28" s="29" t="s">
        <v>113</v>
      </c>
      <c r="S28" s="28" t="s">
        <v>206</v>
      </c>
    </row>
    <row r="29" spans="1:19" x14ac:dyDescent="0.3">
      <c r="A29" s="32" t="s">
        <v>0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4</v>
      </c>
      <c r="H29" s="20">
        <v>4</v>
      </c>
      <c r="I29" s="20">
        <v>0</v>
      </c>
      <c r="J29" s="20">
        <v>0</v>
      </c>
      <c r="K29" s="29" t="s">
        <v>128</v>
      </c>
      <c r="L29" s="1" t="s">
        <v>119</v>
      </c>
      <c r="M29" s="1" t="s">
        <v>107</v>
      </c>
      <c r="N29" s="1" t="s">
        <v>128</v>
      </c>
      <c r="O29" s="31">
        <v>24</v>
      </c>
      <c r="P29" s="20">
        <v>26</v>
      </c>
      <c r="Q29" s="30">
        <v>-2</v>
      </c>
      <c r="R29" s="29" t="s">
        <v>109</v>
      </c>
      <c r="S29" s="28" t="s">
        <v>192</v>
      </c>
    </row>
    <row r="30" spans="1:19" x14ac:dyDescent="0.3">
      <c r="A30" s="32" t="s">
        <v>15</v>
      </c>
      <c r="B30" s="1">
        <v>8</v>
      </c>
      <c r="C30" s="1">
        <v>3</v>
      </c>
      <c r="D30" s="1">
        <v>2</v>
      </c>
      <c r="E30" s="20">
        <v>3</v>
      </c>
      <c r="F30" s="30">
        <v>9</v>
      </c>
      <c r="G30" s="20">
        <v>3</v>
      </c>
      <c r="H30" s="20">
        <v>3</v>
      </c>
      <c r="I30" s="20">
        <v>0</v>
      </c>
      <c r="J30" s="20">
        <v>2</v>
      </c>
      <c r="K30" s="29" t="s">
        <v>128</v>
      </c>
      <c r="L30" s="1" t="s">
        <v>112</v>
      </c>
      <c r="M30" s="1" t="s">
        <v>105</v>
      </c>
      <c r="N30" s="1" t="s">
        <v>128</v>
      </c>
      <c r="O30" s="31">
        <v>23</v>
      </c>
      <c r="P30" s="20">
        <v>24</v>
      </c>
      <c r="Q30" s="30">
        <v>-1</v>
      </c>
      <c r="R30" s="29" t="s">
        <v>93</v>
      </c>
      <c r="S30" s="28" t="s">
        <v>205</v>
      </c>
    </row>
    <row r="31" spans="1:19" x14ac:dyDescent="0.3">
      <c r="A31" s="32" t="s">
        <v>6</v>
      </c>
      <c r="B31" s="1">
        <v>9</v>
      </c>
      <c r="C31" s="1">
        <v>4</v>
      </c>
      <c r="D31" s="1">
        <v>4</v>
      </c>
      <c r="E31" s="20">
        <v>1</v>
      </c>
      <c r="F31" s="30">
        <v>9</v>
      </c>
      <c r="G31" s="20">
        <v>4</v>
      </c>
      <c r="H31" s="20">
        <v>4</v>
      </c>
      <c r="I31" s="20">
        <v>0</v>
      </c>
      <c r="J31" s="20">
        <v>0</v>
      </c>
      <c r="K31" s="29" t="s">
        <v>111</v>
      </c>
      <c r="L31" s="1" t="s">
        <v>147</v>
      </c>
      <c r="M31" s="1" t="s">
        <v>147</v>
      </c>
      <c r="N31" s="1" t="s">
        <v>225</v>
      </c>
      <c r="O31" s="31">
        <v>29</v>
      </c>
      <c r="P31" s="20">
        <v>29</v>
      </c>
      <c r="Q31" s="30">
        <v>0</v>
      </c>
      <c r="R31" s="29" t="s">
        <v>93</v>
      </c>
      <c r="S31" s="28" t="s">
        <v>218</v>
      </c>
    </row>
    <row r="32" spans="1:19" ht="15" thickBot="1" x14ac:dyDescent="0.35">
      <c r="A32" s="32" t="s">
        <v>25</v>
      </c>
      <c r="B32" s="1">
        <v>9</v>
      </c>
      <c r="C32" s="1">
        <v>3</v>
      </c>
      <c r="D32" s="1">
        <v>6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126</v>
      </c>
      <c r="L32" s="1" t="s">
        <v>132</v>
      </c>
      <c r="M32" s="1" t="s">
        <v>115</v>
      </c>
      <c r="N32" s="1" t="s">
        <v>134</v>
      </c>
      <c r="O32" s="31">
        <v>21</v>
      </c>
      <c r="P32" s="20">
        <v>36</v>
      </c>
      <c r="Q32" s="30">
        <v>-15</v>
      </c>
      <c r="R32" s="29" t="s">
        <v>96</v>
      </c>
      <c r="S32" s="28" t="s">
        <v>204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11</v>
      </c>
      <c r="C35" s="1">
        <v>8</v>
      </c>
      <c r="D35" s="1">
        <v>3</v>
      </c>
      <c r="E35" s="20">
        <v>0</v>
      </c>
      <c r="F35" s="33">
        <v>16</v>
      </c>
      <c r="G35" s="20">
        <v>6</v>
      </c>
      <c r="H35" s="20">
        <v>7</v>
      </c>
      <c r="I35" s="20">
        <v>1</v>
      </c>
      <c r="J35" s="20">
        <v>0</v>
      </c>
      <c r="K35" s="29" t="s">
        <v>152</v>
      </c>
      <c r="L35" s="1" t="s">
        <v>114</v>
      </c>
      <c r="M35" s="1" t="s">
        <v>122</v>
      </c>
      <c r="N35" s="1" t="s">
        <v>166</v>
      </c>
      <c r="O35" s="31">
        <v>44</v>
      </c>
      <c r="P35" s="20">
        <v>30</v>
      </c>
      <c r="Q35" s="30">
        <v>14</v>
      </c>
      <c r="R35" s="29" t="s">
        <v>96</v>
      </c>
      <c r="S35" s="28" t="s">
        <v>217</v>
      </c>
    </row>
    <row r="36" spans="1:19" x14ac:dyDescent="0.3">
      <c r="A36" s="32" t="s">
        <v>20</v>
      </c>
      <c r="B36" s="1">
        <v>9</v>
      </c>
      <c r="C36" s="1">
        <v>7</v>
      </c>
      <c r="D36" s="1">
        <v>1</v>
      </c>
      <c r="E36" s="20">
        <v>1</v>
      </c>
      <c r="F36" s="30">
        <v>15</v>
      </c>
      <c r="G36" s="20">
        <v>6</v>
      </c>
      <c r="H36" s="20">
        <v>7</v>
      </c>
      <c r="I36" s="20">
        <v>0</v>
      </c>
      <c r="J36" s="20">
        <v>0</v>
      </c>
      <c r="K36" s="29" t="s">
        <v>119</v>
      </c>
      <c r="L36" s="1" t="s">
        <v>165</v>
      </c>
      <c r="M36" s="1" t="s">
        <v>171</v>
      </c>
      <c r="N36" s="1" t="s">
        <v>196</v>
      </c>
      <c r="O36" s="31">
        <v>41</v>
      </c>
      <c r="P36" s="20">
        <v>27</v>
      </c>
      <c r="Q36" s="30">
        <v>14</v>
      </c>
      <c r="R36" s="29" t="s">
        <v>103</v>
      </c>
      <c r="S36" s="28" t="s">
        <v>196</v>
      </c>
    </row>
    <row r="37" spans="1:19" x14ac:dyDescent="0.3">
      <c r="A37" s="32" t="s">
        <v>7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4</v>
      </c>
      <c r="H37" s="20">
        <v>4</v>
      </c>
      <c r="I37" s="20">
        <v>2</v>
      </c>
      <c r="J37" s="20">
        <v>0</v>
      </c>
      <c r="K37" s="29" t="s">
        <v>105</v>
      </c>
      <c r="L37" s="1" t="s">
        <v>170</v>
      </c>
      <c r="M37" s="1" t="s">
        <v>115</v>
      </c>
      <c r="N37" s="1" t="s">
        <v>115</v>
      </c>
      <c r="O37" s="31">
        <v>39</v>
      </c>
      <c r="P37" s="20">
        <v>34</v>
      </c>
      <c r="Q37" s="30">
        <v>5</v>
      </c>
      <c r="R37" s="29" t="s">
        <v>93</v>
      </c>
      <c r="S37" s="28" t="s">
        <v>198</v>
      </c>
    </row>
    <row r="38" spans="1:19" x14ac:dyDescent="0.3">
      <c r="A38" s="32" t="s">
        <v>8</v>
      </c>
      <c r="B38" s="1">
        <v>10</v>
      </c>
      <c r="C38" s="1">
        <v>5</v>
      </c>
      <c r="D38" s="1">
        <v>4</v>
      </c>
      <c r="E38" s="20">
        <v>1</v>
      </c>
      <c r="F38" s="30">
        <v>11</v>
      </c>
      <c r="G38" s="20">
        <v>0</v>
      </c>
      <c r="H38" s="20">
        <v>4</v>
      </c>
      <c r="I38" s="20">
        <v>1</v>
      </c>
      <c r="J38" s="20">
        <v>1</v>
      </c>
      <c r="K38" s="29" t="s">
        <v>115</v>
      </c>
      <c r="L38" s="1" t="s">
        <v>138</v>
      </c>
      <c r="M38" s="1" t="s">
        <v>98</v>
      </c>
      <c r="N38" s="1" t="s">
        <v>126</v>
      </c>
      <c r="O38" s="31">
        <v>27</v>
      </c>
      <c r="P38" s="20">
        <v>35</v>
      </c>
      <c r="Q38" s="30">
        <v>-8</v>
      </c>
      <c r="R38" s="29" t="s">
        <v>93</v>
      </c>
      <c r="S38" s="28" t="s">
        <v>223</v>
      </c>
    </row>
    <row r="39" spans="1:19" x14ac:dyDescent="0.3">
      <c r="A39" s="32" t="s">
        <v>31</v>
      </c>
      <c r="B39" s="1">
        <v>9</v>
      </c>
      <c r="C39" s="1">
        <v>4</v>
      </c>
      <c r="D39" s="1">
        <v>5</v>
      </c>
      <c r="E39" s="20">
        <v>0</v>
      </c>
      <c r="F39" s="30">
        <v>8</v>
      </c>
      <c r="G39" s="20">
        <v>3</v>
      </c>
      <c r="H39" s="20">
        <v>4</v>
      </c>
      <c r="I39" s="20">
        <v>0</v>
      </c>
      <c r="J39" s="20">
        <v>0</v>
      </c>
      <c r="K39" s="29" t="s">
        <v>123</v>
      </c>
      <c r="L39" s="1" t="s">
        <v>126</v>
      </c>
      <c r="M39" s="1" t="s">
        <v>115</v>
      </c>
      <c r="N39" s="1" t="s">
        <v>126</v>
      </c>
      <c r="O39" s="31">
        <v>26</v>
      </c>
      <c r="P39" s="20">
        <v>29</v>
      </c>
      <c r="Q39" s="30">
        <v>-3</v>
      </c>
      <c r="R39" s="29" t="s">
        <v>117</v>
      </c>
      <c r="S39" s="28" t="s">
        <v>226</v>
      </c>
    </row>
    <row r="40" spans="1:19" x14ac:dyDescent="0.3">
      <c r="A40" s="32" t="s">
        <v>3</v>
      </c>
      <c r="B40" s="1">
        <v>11</v>
      </c>
      <c r="C40" s="1">
        <v>2</v>
      </c>
      <c r="D40" s="1">
        <v>8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123</v>
      </c>
      <c r="L40" s="1" t="s">
        <v>207</v>
      </c>
      <c r="M40" s="1" t="s">
        <v>115</v>
      </c>
      <c r="N40" s="1" t="s">
        <v>115</v>
      </c>
      <c r="O40" s="31">
        <v>33</v>
      </c>
      <c r="P40" s="20">
        <v>51</v>
      </c>
      <c r="Q40" s="30">
        <v>-18</v>
      </c>
      <c r="R40" s="29" t="s">
        <v>167</v>
      </c>
      <c r="S40" s="28" t="s">
        <v>228</v>
      </c>
    </row>
    <row r="41" spans="1:19" x14ac:dyDescent="0.3">
      <c r="A41" s="32" t="s">
        <v>27</v>
      </c>
      <c r="B41" s="1">
        <v>8</v>
      </c>
      <c r="C41" s="1">
        <v>2</v>
      </c>
      <c r="D41" s="1">
        <v>6</v>
      </c>
      <c r="E41" s="20">
        <v>0</v>
      </c>
      <c r="F41" s="30">
        <v>4</v>
      </c>
      <c r="G41" s="20">
        <v>2</v>
      </c>
      <c r="H41" s="20">
        <v>2</v>
      </c>
      <c r="I41" s="20">
        <v>0</v>
      </c>
      <c r="J41" s="20">
        <v>0</v>
      </c>
      <c r="K41" s="29" t="s">
        <v>123</v>
      </c>
      <c r="L41" s="1" t="s">
        <v>123</v>
      </c>
      <c r="M41" s="1" t="s">
        <v>143</v>
      </c>
      <c r="N41" s="1" t="s">
        <v>187</v>
      </c>
      <c r="O41" s="31">
        <v>17</v>
      </c>
      <c r="P41" s="20">
        <v>37</v>
      </c>
      <c r="Q41" s="30">
        <v>-20</v>
      </c>
      <c r="R41" s="29" t="s">
        <v>93</v>
      </c>
      <c r="S41" s="28" t="s">
        <v>172</v>
      </c>
    </row>
    <row r="42" spans="1:19" ht="15" thickBot="1" x14ac:dyDescent="0.35">
      <c r="A42" s="27" t="s">
        <v>18</v>
      </c>
      <c r="B42" s="26">
        <v>7</v>
      </c>
      <c r="C42" s="26">
        <v>1</v>
      </c>
      <c r="D42" s="26">
        <v>4</v>
      </c>
      <c r="E42" s="24">
        <v>2</v>
      </c>
      <c r="F42" s="23">
        <v>4</v>
      </c>
      <c r="G42" s="24">
        <v>1</v>
      </c>
      <c r="H42" s="24">
        <v>1</v>
      </c>
      <c r="I42" s="24">
        <v>0</v>
      </c>
      <c r="J42" s="24">
        <v>0</v>
      </c>
      <c r="K42" s="22" t="s">
        <v>110</v>
      </c>
      <c r="L42" s="26" t="s">
        <v>159</v>
      </c>
      <c r="M42" s="26" t="s">
        <v>108</v>
      </c>
      <c r="N42" s="26" t="s">
        <v>116</v>
      </c>
      <c r="O42" s="25">
        <v>17</v>
      </c>
      <c r="P42" s="24">
        <v>27</v>
      </c>
      <c r="Q42" s="23">
        <v>-10</v>
      </c>
      <c r="R42" s="22" t="s">
        <v>93</v>
      </c>
      <c r="S42" s="21" t="s">
        <v>227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05BDA6-EAD2-43DB-91EF-36BEACE2B255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activeCell="A14" sqref="A14:S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10</v>
      </c>
      <c r="C4" s="40">
        <f>Boston_Bruins!$I$86</f>
        <v>7</v>
      </c>
      <c r="D4" s="40">
        <f>Boston_Bruins!$J$86</f>
        <v>2</v>
      </c>
      <c r="E4" s="38">
        <f>Boston_Bruins!$L$86</f>
        <v>1</v>
      </c>
      <c r="F4" s="33">
        <f t="shared" ref="F4:F11" si="0">(C4*2)+E4</f>
        <v>15</v>
      </c>
      <c r="G4" s="39">
        <f>C4-Boston_Bruins!$K$86</f>
        <v>6</v>
      </c>
      <c r="H4" s="38">
        <f t="shared" ref="H4:H11" si="1">C4-I4</f>
        <v>7</v>
      </c>
      <c r="I4" s="38">
        <f>Boston_Bruins!$M$86</f>
        <v>0</v>
      </c>
      <c r="J4" s="33">
        <f>Boston_Bruins!$N$86</f>
        <v>0</v>
      </c>
      <c r="K4" s="37" t="str">
        <f>Boston_Bruins!$O$87</f>
        <v>3-1-0</v>
      </c>
      <c r="L4" s="40" t="str">
        <f>Boston_Bruins!$R$87</f>
        <v>4-1-1</v>
      </c>
      <c r="M4" s="40" t="str">
        <f>Boston_Bruins!$U$87</f>
        <v>0-1-0</v>
      </c>
      <c r="N4" s="40" t="str">
        <f>Boston_Bruins!$X$87</f>
        <v>2-1-0</v>
      </c>
      <c r="O4" s="39">
        <f>Boston_Bruins!$E$87</f>
        <v>36</v>
      </c>
      <c r="P4" s="38">
        <f>Boston_Bruins!$F$87</f>
        <v>22</v>
      </c>
      <c r="Q4" s="33">
        <f t="shared" ref="Q4:Q11" si="2">O4-P4</f>
        <v>14</v>
      </c>
      <c r="R4" s="37" t="str">
        <f>Boston_Bruins!$AA$87</f>
        <v>L1</v>
      </c>
      <c r="S4" s="36" t="str">
        <f>Boston_Bruins!$AD$87</f>
        <v>7-2-1</v>
      </c>
    </row>
    <row r="5" spans="1:20" x14ac:dyDescent="0.3">
      <c r="A5" s="32" t="s">
        <v>28</v>
      </c>
      <c r="B5" s="1">
        <f>Buffalo_Sabres!$D$88</f>
        <v>10</v>
      </c>
      <c r="C5" s="1">
        <f>Buffalo_Sabres!$I$86</f>
        <v>4</v>
      </c>
      <c r="D5" s="1">
        <f>Buffalo_Sabres!$J$86</f>
        <v>4</v>
      </c>
      <c r="E5" s="20">
        <f>Buffalo_Sabres!$L$86</f>
        <v>2</v>
      </c>
      <c r="F5" s="30">
        <f t="shared" si="0"/>
        <v>10</v>
      </c>
      <c r="G5" s="31">
        <f>C5-Buffalo_Sabres!$K$86</f>
        <v>2</v>
      </c>
      <c r="H5" s="20">
        <f t="shared" si="1"/>
        <v>4</v>
      </c>
      <c r="I5" s="20">
        <f>Buffalo_Sabres!$M$86</f>
        <v>0</v>
      </c>
      <c r="J5" s="30">
        <f>Buffalo_Sabres!$N$86</f>
        <v>1</v>
      </c>
      <c r="K5" s="29" t="str">
        <f>Buffalo_Sabres!$O$87</f>
        <v>3-3-0</v>
      </c>
      <c r="L5" s="1" t="str">
        <f>Buffalo_Sabres!$R$87</f>
        <v>1-1-2</v>
      </c>
      <c r="M5" s="1" t="str">
        <f>Buffalo_Sabres!$U$87</f>
        <v>2-0-2</v>
      </c>
      <c r="N5" s="1" t="str">
        <f>Buffalo_Sabres!$X$87</f>
        <v>2-2-2</v>
      </c>
      <c r="O5" s="31">
        <f>Buffalo_Sabres!$E$87</f>
        <v>28</v>
      </c>
      <c r="P5" s="20">
        <f>Buffalo_Sabres!$F$87</f>
        <v>37</v>
      </c>
      <c r="Q5" s="30">
        <f t="shared" si="2"/>
        <v>-9</v>
      </c>
      <c r="R5" s="29" t="str">
        <f>Buffalo_Sabres!$AA$87</f>
        <v>L2</v>
      </c>
      <c r="S5" s="28" t="str">
        <f>Buffalo_Sabres!$AD$87</f>
        <v>4-4-2</v>
      </c>
    </row>
    <row r="6" spans="1:20" x14ac:dyDescent="0.3">
      <c r="A6" s="32" t="s">
        <v>21</v>
      </c>
      <c r="B6" s="1">
        <f>Detroit_Red_Wings!$D$88</f>
        <v>9</v>
      </c>
      <c r="C6" s="1">
        <f>Detroit_Red_Wings!$I$86</f>
        <v>3</v>
      </c>
      <c r="D6" s="1">
        <f>Detroit_Red_Wings!$J$86</f>
        <v>3</v>
      </c>
      <c r="E6" s="20">
        <f>Detroit_Red_Wings!$L$86</f>
        <v>3</v>
      </c>
      <c r="F6" s="30">
        <f t="shared" si="0"/>
        <v>9</v>
      </c>
      <c r="G6" s="31">
        <f>C6-Detroit_Red_Wings!$K$86</f>
        <v>2</v>
      </c>
      <c r="H6" s="20">
        <f t="shared" si="1"/>
        <v>2</v>
      </c>
      <c r="I6" s="20">
        <f>Detroit_Red_Wings!$M$86</f>
        <v>1</v>
      </c>
      <c r="J6" s="30">
        <f>Detroit_Red_Wings!$N$86</f>
        <v>2</v>
      </c>
      <c r="K6" s="29" t="str">
        <f>Detroit_Red_Wings!$O$87</f>
        <v>3-3-1</v>
      </c>
      <c r="L6" s="1" t="str">
        <f>Detroit_Red_Wings!$R$87</f>
        <v>0-0-2</v>
      </c>
      <c r="M6" s="1" t="str">
        <f>Detroit_Red_Wings!$U$87</f>
        <v>1-0-1</v>
      </c>
      <c r="N6" s="1" t="str">
        <f>Detroit_Red_Wings!$X$87</f>
        <v>2-1-2</v>
      </c>
      <c r="O6" s="31">
        <f>Detroit_Red_Wings!$E$87</f>
        <v>23</v>
      </c>
      <c r="P6" s="20">
        <f>Detroit_Red_Wings!$F$87</f>
        <v>28</v>
      </c>
      <c r="Q6" s="30">
        <f t="shared" si="2"/>
        <v>-5</v>
      </c>
      <c r="R6" s="29" t="str">
        <f>Detroit_Red_Wings!$AA$87</f>
        <v>L1</v>
      </c>
      <c r="S6" s="28" t="str">
        <f>Detroit_Red_Wings!$AD$87</f>
        <v>3-3-3</v>
      </c>
    </row>
    <row r="7" spans="1:20" x14ac:dyDescent="0.3">
      <c r="A7" s="32" t="s">
        <v>19</v>
      </c>
      <c r="B7" s="1">
        <f>Florida_Panthers!$D$88</f>
        <v>10</v>
      </c>
      <c r="C7" s="1">
        <f>Florida_Panthers!$I$86</f>
        <v>5</v>
      </c>
      <c r="D7" s="1">
        <f>Florida_Panthers!$J$86</f>
        <v>3</v>
      </c>
      <c r="E7" s="20">
        <f>Florida_Panthers!$L$86</f>
        <v>2</v>
      </c>
      <c r="F7" s="30">
        <f t="shared" si="0"/>
        <v>12</v>
      </c>
      <c r="G7" s="31">
        <f>C7-Florida_Panthers!$K$86</f>
        <v>3</v>
      </c>
      <c r="H7" s="20">
        <f t="shared" si="1"/>
        <v>5</v>
      </c>
      <c r="I7" s="20">
        <f>Florida_Panthers!$M$86</f>
        <v>0</v>
      </c>
      <c r="J7" s="30">
        <f>Florida_Panthers!$N$86</f>
        <v>0</v>
      </c>
      <c r="K7" s="29" t="str">
        <f>Florida_Panthers!$O$87</f>
        <v>2-1-0</v>
      </c>
      <c r="L7" s="1" t="str">
        <f>Florida_Panthers!$R$87</f>
        <v>3-2-2</v>
      </c>
      <c r="M7" s="1" t="str">
        <f>Florida_Panthers!$U$87</f>
        <v>0-2-0</v>
      </c>
      <c r="N7" s="1" t="str">
        <f>Florida_Panthers!$X$87</f>
        <v>2-2-0</v>
      </c>
      <c r="O7" s="31">
        <f>Florida_Panthers!$E$87</f>
        <v>31</v>
      </c>
      <c r="P7" s="20">
        <f>Florida_Panthers!$F$87</f>
        <v>30</v>
      </c>
      <c r="Q7" s="30">
        <f t="shared" si="2"/>
        <v>1</v>
      </c>
      <c r="R7" s="29" t="str">
        <f>Florida_Panthers!$AA$87</f>
        <v>L1</v>
      </c>
      <c r="S7" s="28" t="str">
        <f>Florida_Panthers!$AD$87</f>
        <v>5-3-2</v>
      </c>
    </row>
    <row r="8" spans="1:20" x14ac:dyDescent="0.3">
      <c r="A8" s="32" t="s">
        <v>16</v>
      </c>
      <c r="B8" s="1">
        <f>Montreal_Canadiens!$D$88</f>
        <v>9</v>
      </c>
      <c r="C8" s="1">
        <f>Montreal_Canadiens!$I$86</f>
        <v>4</v>
      </c>
      <c r="D8" s="1">
        <f>Montreal_Canadiens!$J$86</f>
        <v>3</v>
      </c>
      <c r="E8" s="20">
        <f>Montreal_Canadiens!$L$86</f>
        <v>2</v>
      </c>
      <c r="F8" s="30">
        <f t="shared" si="0"/>
        <v>10</v>
      </c>
      <c r="G8" s="31">
        <f>C8-Montreal_Canadiens!$K$86</f>
        <v>1</v>
      </c>
      <c r="H8" s="20">
        <f t="shared" si="1"/>
        <v>2</v>
      </c>
      <c r="I8" s="20">
        <f>Montreal_Canadiens!$M$86</f>
        <v>2</v>
      </c>
      <c r="J8" s="30">
        <f>Montreal_Canadiens!$N$86</f>
        <v>0</v>
      </c>
      <c r="K8" s="29" t="str">
        <f>Montreal_Canadiens!$O$87</f>
        <v>3-2-1</v>
      </c>
      <c r="L8" s="1" t="str">
        <f>Montreal_Canadiens!$R$87</f>
        <v>1-1-1</v>
      </c>
      <c r="M8" s="1" t="str">
        <f>Montreal_Canadiens!$U$87</f>
        <v>4-0-0</v>
      </c>
      <c r="N8" s="1" t="str">
        <f>Montreal_Canadiens!$X$87</f>
        <v>4-2-1</v>
      </c>
      <c r="O8" s="31">
        <f>Montreal_Canadiens!$E$87</f>
        <v>30</v>
      </c>
      <c r="P8" s="20">
        <f>Montreal_Canadiens!$F$87</f>
        <v>34</v>
      </c>
      <c r="Q8" s="30">
        <f t="shared" si="2"/>
        <v>-4</v>
      </c>
      <c r="R8" s="29" t="str">
        <f>Montreal_Canadiens!$AA$87</f>
        <v>L1</v>
      </c>
      <c r="S8" s="28" t="str">
        <f>Montreal_Canadiens!$AD$87</f>
        <v>4-3-2</v>
      </c>
    </row>
    <row r="9" spans="1:20" x14ac:dyDescent="0.3">
      <c r="A9" s="32" t="s">
        <v>11</v>
      </c>
      <c r="B9" s="1">
        <f>Ottawa_Senators!$D$88</f>
        <v>10</v>
      </c>
      <c r="C9" s="1">
        <f>Ottawa_Senators!$I$86</f>
        <v>7</v>
      </c>
      <c r="D9" s="1">
        <f>Ottawa_Senators!$J$86</f>
        <v>3</v>
      </c>
      <c r="E9" s="20">
        <f>Ottawa_Senators!$L$86</f>
        <v>0</v>
      </c>
      <c r="F9" s="30">
        <f t="shared" si="0"/>
        <v>14</v>
      </c>
      <c r="G9" s="31">
        <f>C9-Ottawa_Senators!$K$86</f>
        <v>5</v>
      </c>
      <c r="H9" s="20">
        <f t="shared" si="1"/>
        <v>5</v>
      </c>
      <c r="I9" s="20">
        <f>Ottawa_Senators!$M$86</f>
        <v>2</v>
      </c>
      <c r="J9" s="30">
        <f>Ottawa_Senators!$N$86</f>
        <v>0</v>
      </c>
      <c r="K9" s="29" t="str">
        <f>Ottawa_Senators!$O$87</f>
        <v>4-1-0</v>
      </c>
      <c r="L9" s="1" t="str">
        <f>Ottawa_Senators!$R$87</f>
        <v>3-2-0</v>
      </c>
      <c r="M9" s="1" t="str">
        <f>Ottawa_Senators!$U$87</f>
        <v>3-1-0</v>
      </c>
      <c r="N9" s="1" t="str">
        <f>Ottawa_Senators!$X$87</f>
        <v>6-2-0</v>
      </c>
      <c r="O9" s="31">
        <f>Ottawa_Senators!$E$87</f>
        <v>29</v>
      </c>
      <c r="P9" s="20">
        <f>Ottawa_Senators!$F$87</f>
        <v>24</v>
      </c>
      <c r="Q9" s="30">
        <f t="shared" si="2"/>
        <v>5</v>
      </c>
      <c r="R9" s="29" t="str">
        <f>Ottawa_Senators!$AA$87</f>
        <v>W1</v>
      </c>
      <c r="S9" s="28" t="str">
        <f>Ottawa_Senators!$AD$87</f>
        <v>7-3-0</v>
      </c>
    </row>
    <row r="10" spans="1:20" x14ac:dyDescent="0.3">
      <c r="A10" s="32" t="s">
        <v>5</v>
      </c>
      <c r="B10" s="1">
        <f>Tampa_Bay_Lightning!$D$88</f>
        <v>9</v>
      </c>
      <c r="C10" s="1">
        <f>Tampa_Bay_Lightning!$I$86</f>
        <v>7</v>
      </c>
      <c r="D10" s="1">
        <f>Tampa_Bay_Lightning!$J$86</f>
        <v>2</v>
      </c>
      <c r="E10" s="20">
        <f>Tampa_Bay_Lightning!$L$86</f>
        <v>0</v>
      </c>
      <c r="F10" s="30">
        <f t="shared" si="0"/>
        <v>14</v>
      </c>
      <c r="G10" s="31">
        <f>C10-Tampa_Bay_Lightning!$K$86</f>
        <v>6</v>
      </c>
      <c r="H10" s="20">
        <f t="shared" si="1"/>
        <v>7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5-0-0</v>
      </c>
      <c r="L10" s="1" t="str">
        <f>Tampa_Bay_Lightning!$R$87</f>
        <v>2-2-0</v>
      </c>
      <c r="M10" s="1" t="str">
        <f>Tampa_Bay_Lightning!$U$87</f>
        <v>0-0-0</v>
      </c>
      <c r="N10" s="1" t="str">
        <f>Tampa_Bay_Lightning!$X$87</f>
        <v>3-2-0</v>
      </c>
      <c r="O10" s="31">
        <f>Tampa_Bay_Lightning!$E$87</f>
        <v>31</v>
      </c>
      <c r="P10" s="20">
        <f>Tampa_Bay_Lightning!$F$87</f>
        <v>23</v>
      </c>
      <c r="Q10" s="30">
        <f t="shared" si="2"/>
        <v>8</v>
      </c>
      <c r="R10" s="29" t="str">
        <f>Tampa_Bay_Lightning!$AA$87</f>
        <v>W3</v>
      </c>
      <c r="S10" s="28" t="str">
        <f>Tampa_Bay_Lightning!$AD$87</f>
        <v>7-2-0</v>
      </c>
    </row>
    <row r="11" spans="1:20" ht="15" thickBot="1" x14ac:dyDescent="0.35">
      <c r="A11" s="32" t="s">
        <v>4</v>
      </c>
      <c r="B11" s="1">
        <f>Toronto_Maple_Leafs!$D$88</f>
        <v>11</v>
      </c>
      <c r="C11" s="1">
        <f>Toronto_Maple_Leafs!$I$86</f>
        <v>5</v>
      </c>
      <c r="D11" s="1">
        <f>Toronto_Maple_Leafs!$J$86</f>
        <v>4</v>
      </c>
      <c r="E11" s="24">
        <f>Toronto_Maple_Leafs!$L$86</f>
        <v>2</v>
      </c>
      <c r="F11" s="23">
        <f t="shared" si="0"/>
        <v>12</v>
      </c>
      <c r="G11" s="25">
        <f>C11-Toronto_Maple_Leafs!$K$86</f>
        <v>4</v>
      </c>
      <c r="H11" s="24">
        <f t="shared" si="1"/>
        <v>5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3-3-1</v>
      </c>
      <c r="L11" s="1" t="str">
        <f>Toronto_Maple_Leafs!$R$87</f>
        <v>2-1-1</v>
      </c>
      <c r="M11" s="1" t="str">
        <f>Toronto_Maple_Leafs!$U$87</f>
        <v>0-2-1</v>
      </c>
      <c r="N11" s="1" t="str">
        <f>Toronto_Maple_Leafs!$X$87</f>
        <v>2-3-1</v>
      </c>
      <c r="O11" s="31">
        <f>Toronto_Maple_Leafs!$E$87</f>
        <v>38</v>
      </c>
      <c r="P11" s="20">
        <f>Toronto_Maple_Leafs!$F$87</f>
        <v>35</v>
      </c>
      <c r="Q11" s="30">
        <f t="shared" si="2"/>
        <v>3</v>
      </c>
      <c r="R11" s="29" t="str">
        <f>Toronto_Maple_Leafs!$AA$87</f>
        <v>W2</v>
      </c>
      <c r="S11" s="28" t="str">
        <f>Toronto_Maple_Leafs!$AD$87</f>
        <v>5-3-2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11</v>
      </c>
      <c r="C14" s="1">
        <f>Carolina_Hurricanes!$I$86</f>
        <v>8</v>
      </c>
      <c r="D14" s="1">
        <f>Carolina_Hurricanes!$J$86</f>
        <v>2</v>
      </c>
      <c r="E14" s="20">
        <f>Carolina_Hurricanes!$L$86</f>
        <v>1</v>
      </c>
      <c r="F14" s="33">
        <f t="shared" ref="F14:F21" si="3">(C14*2)+E14</f>
        <v>17</v>
      </c>
      <c r="G14" s="20">
        <f>C14-Carolina_Hurricanes!$K$86</f>
        <v>7</v>
      </c>
      <c r="H14" s="20">
        <f t="shared" ref="H14:H21" si="4">C14-I14</f>
        <v>8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2-1-1</v>
      </c>
      <c r="L14" s="1" t="str">
        <f>Carolina_Hurricanes!$R$87</f>
        <v>6-1-0</v>
      </c>
      <c r="M14" s="1" t="str">
        <f>Carolina_Hurricanes!$U$87</f>
        <v>3-1-0</v>
      </c>
      <c r="N14" s="1" t="str">
        <f>Carolina_Hurricanes!$X$87</f>
        <v>4-1-1</v>
      </c>
      <c r="O14" s="31">
        <f>Carolina_Hurricanes!$E$87</f>
        <v>42</v>
      </c>
      <c r="P14" s="20">
        <f>Carolina_Hurricanes!$F$87</f>
        <v>27</v>
      </c>
      <c r="Q14" s="30">
        <f t="shared" ref="Q14:Q21" si="5">O14-P14</f>
        <v>15</v>
      </c>
      <c r="R14" s="29" t="str">
        <f>Carolina_Hurricanes!$AA$87</f>
        <v>W1</v>
      </c>
      <c r="S14" s="28" t="str">
        <f>Carolina_Hurricanes!$AD$87</f>
        <v>8-2-0</v>
      </c>
    </row>
    <row r="15" spans="1:20" x14ac:dyDescent="0.3">
      <c r="A15" s="32" t="s">
        <v>23</v>
      </c>
      <c r="B15" s="1">
        <f>Columbus_Blue_Jackets!$D$88</f>
        <v>8</v>
      </c>
      <c r="C15" s="1">
        <f>Columbus_Blue_Jackets!$I$86</f>
        <v>3</v>
      </c>
      <c r="D15" s="1">
        <f>Columbus_Blue_Jackets!$J$86</f>
        <v>5</v>
      </c>
      <c r="E15" s="20">
        <f>Columbus_Blue_Jackets!$L$86</f>
        <v>0</v>
      </c>
      <c r="F15" s="30">
        <f t="shared" si="3"/>
        <v>6</v>
      </c>
      <c r="G15" s="20">
        <f>C15-Columbus_Blue_Jackets!$K$86</f>
        <v>1</v>
      </c>
      <c r="H15" s="20">
        <f t="shared" si="4"/>
        <v>2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3-3-0</v>
      </c>
      <c r="L15" s="1" t="str">
        <f>Columbus_Blue_Jackets!$R$87</f>
        <v>0-2-0</v>
      </c>
      <c r="M15" s="1" t="str">
        <f>Columbus_Blue_Jackets!$U$87</f>
        <v>2-0-0</v>
      </c>
      <c r="N15" s="1" t="str">
        <f>Columbus_Blue_Jackets!$X$87</f>
        <v>3-2-0</v>
      </c>
      <c r="O15" s="31">
        <f>Columbus_Blue_Jackets!$E$87</f>
        <v>20</v>
      </c>
      <c r="P15" s="20">
        <f>Columbus_Blue_Jackets!$F$87</f>
        <v>29</v>
      </c>
      <c r="Q15" s="30">
        <f t="shared" si="5"/>
        <v>-9</v>
      </c>
      <c r="R15" s="29" t="str">
        <f>Columbus_Blue_Jackets!$AA$87</f>
        <v>L2</v>
      </c>
      <c r="S15" s="28" t="str">
        <f>Columbus_Blue_Jackets!$AD$87</f>
        <v>3-5-0</v>
      </c>
    </row>
    <row r="16" spans="1:20" x14ac:dyDescent="0.3">
      <c r="A16" s="32" t="s">
        <v>14</v>
      </c>
      <c r="B16" s="1">
        <f>New_Jersey_Devils!$D$88</f>
        <v>9</v>
      </c>
      <c r="C16" s="1">
        <f>New_Jersey_Devils!$I$86</f>
        <v>5</v>
      </c>
      <c r="D16" s="1">
        <f>New_Jersey_Devils!$J$86</f>
        <v>4</v>
      </c>
      <c r="E16" s="20">
        <f>New_Jersey_Devils!$L$86</f>
        <v>0</v>
      </c>
      <c r="F16" s="30">
        <f t="shared" si="3"/>
        <v>10</v>
      </c>
      <c r="G16" s="20">
        <f>C16-New_Jersey_Devils!$K$86</f>
        <v>3</v>
      </c>
      <c r="H16" s="20">
        <f t="shared" si="4"/>
        <v>5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4-2-0</v>
      </c>
      <c r="L16" s="1" t="str">
        <f>New_Jersey_Devils!$R$87</f>
        <v>1-2-0</v>
      </c>
      <c r="M16" s="1" t="str">
        <f>New_Jersey_Devils!$U$87</f>
        <v>2-2-0</v>
      </c>
      <c r="N16" s="1" t="str">
        <f>New_Jersey_Devils!$X$87</f>
        <v>3-3-0</v>
      </c>
      <c r="O16" s="31">
        <f>New_Jersey_Devils!$E$87</f>
        <v>29</v>
      </c>
      <c r="P16" s="20">
        <f>New_Jersey_Devils!$F$87</f>
        <v>30</v>
      </c>
      <c r="Q16" s="30">
        <f t="shared" si="5"/>
        <v>-1</v>
      </c>
      <c r="R16" s="29" t="str">
        <f>New_Jersey_Devils!$AA$87</f>
        <v>W1</v>
      </c>
      <c r="S16" s="28" t="str">
        <f>New_Jersey_Devils!$AD$87</f>
        <v>5-4-0</v>
      </c>
    </row>
    <row r="17" spans="1:19" x14ac:dyDescent="0.3">
      <c r="A17" s="32" t="s">
        <v>13</v>
      </c>
      <c r="B17" s="1">
        <f>New_York_Islanders!$D$88</f>
        <v>9</v>
      </c>
      <c r="C17" s="1">
        <f>New_York_Islanders!$I$86</f>
        <v>5</v>
      </c>
      <c r="D17" s="1">
        <f>New_York_Islanders!$J$86</f>
        <v>3</v>
      </c>
      <c r="E17" s="20">
        <f>New_York_Islanders!$L$86</f>
        <v>1</v>
      </c>
      <c r="F17" s="30">
        <f t="shared" si="3"/>
        <v>11</v>
      </c>
      <c r="G17" s="20">
        <f>C17-New_York_Islanders!$K$86</f>
        <v>5</v>
      </c>
      <c r="H17" s="20">
        <f t="shared" si="4"/>
        <v>5</v>
      </c>
      <c r="I17" s="20">
        <f>New_York_Islanders!$M$86</f>
        <v>0</v>
      </c>
      <c r="J17" s="20">
        <f>New_York_Islanders!$N$86</f>
        <v>1</v>
      </c>
      <c r="K17" s="29" t="str">
        <f>New_York_Islanders!$O$87</f>
        <v>4-1-0</v>
      </c>
      <c r="L17" s="1" t="str">
        <f>New_York_Islanders!$R$87</f>
        <v>1-2-1</v>
      </c>
      <c r="M17" s="1" t="str">
        <f>New_York_Islanders!$U$87</f>
        <v>1-1-0</v>
      </c>
      <c r="N17" s="1" t="str">
        <f>New_York_Islanders!$X$87</f>
        <v>2-3-1</v>
      </c>
      <c r="O17" s="31">
        <f>New_York_Islanders!$E$87</f>
        <v>27</v>
      </c>
      <c r="P17" s="20">
        <f>New_York_Islanders!$F$87</f>
        <v>20</v>
      </c>
      <c r="Q17" s="30">
        <f t="shared" si="5"/>
        <v>7</v>
      </c>
      <c r="R17" s="29" t="str">
        <f>New_York_Islanders!$AA$87</f>
        <v>W2</v>
      </c>
      <c r="S17" s="28" t="str">
        <f>New_York_Islanders!$AD$87</f>
        <v>5-3-1</v>
      </c>
    </row>
    <row r="18" spans="1:19" x14ac:dyDescent="0.3">
      <c r="A18" s="32" t="s">
        <v>12</v>
      </c>
      <c r="B18" s="1">
        <f>New_York_Rangers!$D$88</f>
        <v>11</v>
      </c>
      <c r="C18" s="1">
        <f>New_York_Rangers!$I$86</f>
        <v>7</v>
      </c>
      <c r="D18" s="1">
        <f>New_York_Rangers!$J$86</f>
        <v>3</v>
      </c>
      <c r="E18" s="20">
        <f>New_York_Rangers!$L$86</f>
        <v>1</v>
      </c>
      <c r="F18" s="30">
        <f t="shared" si="3"/>
        <v>15</v>
      </c>
      <c r="G18" s="20">
        <f>C18-New_York_Rangers!$K$86</f>
        <v>7</v>
      </c>
      <c r="H18" s="20">
        <f t="shared" si="4"/>
        <v>7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6-0-0</v>
      </c>
      <c r="L18" s="1" t="str">
        <f>New_York_Rangers!$R$87</f>
        <v>1-3-1</v>
      </c>
      <c r="M18" s="1" t="str">
        <f>New_York_Rangers!$U$87</f>
        <v>1-2-1</v>
      </c>
      <c r="N18" s="1" t="str">
        <f>New_York_Rangers!$X$87</f>
        <v>4-3-1</v>
      </c>
      <c r="O18" s="31">
        <f>New_York_Rangers!$E$87</f>
        <v>33</v>
      </c>
      <c r="P18" s="20">
        <f>New_York_Rangers!$F$87</f>
        <v>24</v>
      </c>
      <c r="Q18" s="30">
        <f t="shared" si="5"/>
        <v>9</v>
      </c>
      <c r="R18" s="29" t="str">
        <f>New_York_Rangers!$AA$87</f>
        <v>W1</v>
      </c>
      <c r="S18" s="28" t="str">
        <f>New_York_Rangers!$AD$87</f>
        <v>7-2-1</v>
      </c>
    </row>
    <row r="19" spans="1:19" x14ac:dyDescent="0.3">
      <c r="A19" s="32" t="s">
        <v>10</v>
      </c>
      <c r="B19" s="1">
        <f>Philadelphia_Flyers!$D$88</f>
        <v>12</v>
      </c>
      <c r="C19" s="1">
        <f>Philadelphia_Flyers!$I$86</f>
        <v>3</v>
      </c>
      <c r="D19" s="1">
        <f>Philadelphia_Flyers!$J$86</f>
        <v>6</v>
      </c>
      <c r="E19" s="20">
        <f>Philadelphia_Flyers!$L$86</f>
        <v>3</v>
      </c>
      <c r="F19" s="30">
        <f t="shared" si="3"/>
        <v>9</v>
      </c>
      <c r="G19" s="20">
        <f>C19-Philadelphia_Flyers!$K$86</f>
        <v>3</v>
      </c>
      <c r="H19" s="20">
        <f t="shared" si="4"/>
        <v>3</v>
      </c>
      <c r="I19" s="20">
        <f>Philadelphia_Flyers!$M$86</f>
        <v>0</v>
      </c>
      <c r="J19" s="20">
        <f>Philadelphia_Flyers!$N$86</f>
        <v>1</v>
      </c>
      <c r="K19" s="29" t="str">
        <f>Philadelphia_Flyers!$O$87</f>
        <v>2-2-2</v>
      </c>
      <c r="L19" s="1" t="str">
        <f>Philadelphia_Flyers!$R$87</f>
        <v>1-4-1</v>
      </c>
      <c r="M19" s="1" t="str">
        <f>Philadelphia_Flyers!$U$87</f>
        <v>0-2-2</v>
      </c>
      <c r="N19" s="1" t="str">
        <f>Philadelphia_Flyers!$X$87</f>
        <v>2-6-2</v>
      </c>
      <c r="O19" s="31">
        <f>Philadelphia_Flyers!$E$87</f>
        <v>20</v>
      </c>
      <c r="P19" s="20">
        <f>Philadelphia_Flyers!$F$87</f>
        <v>37</v>
      </c>
      <c r="Q19" s="30">
        <f t="shared" si="5"/>
        <v>-17</v>
      </c>
      <c r="R19" s="29" t="str">
        <f>Philadelphia_Flyers!$AA$87</f>
        <v>W3</v>
      </c>
      <c r="S19" s="28" t="str">
        <f>Philadelphia_Flyers!$AD$87</f>
        <v>3-5-2</v>
      </c>
    </row>
    <row r="20" spans="1:19" x14ac:dyDescent="0.3">
      <c r="A20" s="32" t="s">
        <v>9</v>
      </c>
      <c r="B20" s="1">
        <f>Pittsburgh_Penguins!$D$88</f>
        <v>10</v>
      </c>
      <c r="C20" s="1">
        <f>Pittsburgh_Penguins!$I$86</f>
        <v>3</v>
      </c>
      <c r="D20" s="1">
        <f>Pittsburgh_Penguins!$J$86</f>
        <v>6</v>
      </c>
      <c r="E20" s="20">
        <f>Pittsburgh_Penguins!$L$86</f>
        <v>1</v>
      </c>
      <c r="F20" s="30">
        <f t="shared" si="3"/>
        <v>7</v>
      </c>
      <c r="G20" s="20">
        <f>C20-Pittsburgh_Penguins!$K$86</f>
        <v>1</v>
      </c>
      <c r="H20" s="20">
        <f t="shared" si="4"/>
        <v>2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2-1-0</v>
      </c>
      <c r="L20" s="1" t="str">
        <f>Pittsburgh_Penguins!$R$87</f>
        <v>1-5-1</v>
      </c>
      <c r="M20" s="1" t="str">
        <f>Pittsburgh_Penguins!$U$87</f>
        <v>1-1-1</v>
      </c>
      <c r="N20" s="1" t="str">
        <f>Pittsburgh_Penguins!$X$87</f>
        <v>2-1-1</v>
      </c>
      <c r="O20" s="31">
        <f>Pittsburgh_Penguins!$E$87</f>
        <v>33</v>
      </c>
      <c r="P20" s="20">
        <f>Pittsburgh_Penguins!$F$87</f>
        <v>38</v>
      </c>
      <c r="Q20" s="30">
        <f t="shared" si="5"/>
        <v>-5</v>
      </c>
      <c r="R20" s="29" t="str">
        <f>Pittsburgh_Penguins!$AA$87</f>
        <v>L4</v>
      </c>
      <c r="S20" s="28" t="str">
        <f>Pittsburgh_Penguins!$AD$87</f>
        <v>3-6-1</v>
      </c>
    </row>
    <row r="21" spans="1:19" ht="15" thickBot="1" x14ac:dyDescent="0.35">
      <c r="A21" s="27" t="s">
        <v>1</v>
      </c>
      <c r="B21" s="26">
        <f>Washington_Capitals!$D$88</f>
        <v>9</v>
      </c>
      <c r="C21" s="26">
        <f>Washington_Capitals!$I$86</f>
        <v>5</v>
      </c>
      <c r="D21" s="26">
        <f>Washington_Capitals!$J$86</f>
        <v>4</v>
      </c>
      <c r="E21" s="24">
        <f>Washington_Capitals!$L$86</f>
        <v>0</v>
      </c>
      <c r="F21" s="23">
        <f t="shared" si="3"/>
        <v>10</v>
      </c>
      <c r="G21" s="24">
        <f>C21-Washington_Capitals!$K$86</f>
        <v>5</v>
      </c>
      <c r="H21" s="24">
        <f t="shared" si="4"/>
        <v>5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4-2-0</v>
      </c>
      <c r="L21" s="26" t="str">
        <f>Washington_Capitals!$R$87</f>
        <v>1-2-0</v>
      </c>
      <c r="M21" s="26" t="str">
        <f>Washington_Capitals!$U$87</f>
        <v>4-1-0</v>
      </c>
      <c r="N21" s="26" t="str">
        <f>Washington_Capitals!$X$87</f>
        <v>5-2-0</v>
      </c>
      <c r="O21" s="25">
        <f>Washington_Capitals!$E$87</f>
        <v>30</v>
      </c>
      <c r="P21" s="24">
        <f>Washington_Capitals!$F$87</f>
        <v>29</v>
      </c>
      <c r="Q21" s="23">
        <f t="shared" si="5"/>
        <v>1</v>
      </c>
      <c r="R21" s="22" t="str">
        <f>Washington_Capitals!$AA$87</f>
        <v>L1</v>
      </c>
      <c r="S21" s="21" t="str">
        <f>Washington_Capitals!$AD$87</f>
        <v>5-4-0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9</v>
      </c>
      <c r="C25" s="1">
        <f>Chicago_Blackhawks!$I$86</f>
        <v>3</v>
      </c>
      <c r="D25" s="1">
        <f>Chicago_Blackhawks!$J$86</f>
        <v>6</v>
      </c>
      <c r="E25" s="20">
        <f>Chicago_Blackhawks!$L$86</f>
        <v>0</v>
      </c>
      <c r="F25" s="30">
        <f t="shared" ref="F25:F31" si="6">(C25*2)+E25</f>
        <v>6</v>
      </c>
      <c r="G25" s="20">
        <f>C25-Chicago_Blackhawks!$K$86</f>
        <v>2</v>
      </c>
      <c r="H25" s="20">
        <f t="shared" ref="H25:H31" si="7">C25-I25</f>
        <v>3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3-2-0</v>
      </c>
      <c r="L25" s="1" t="str">
        <f>Chicago_Blackhawks!$R$87</f>
        <v>0-4-0</v>
      </c>
      <c r="M25" s="1" t="str">
        <f>Chicago_Blackhawks!$U$87</f>
        <v>2-2-0</v>
      </c>
      <c r="N25" s="1" t="str">
        <f>Chicago_Blackhawks!$X$87</f>
        <v>2-3-0</v>
      </c>
      <c r="O25" s="31">
        <f>Chicago_Blackhawks!$E$87</f>
        <v>21</v>
      </c>
      <c r="P25" s="20">
        <f>Chicago_Blackhawks!$F$87</f>
        <v>36</v>
      </c>
      <c r="Q25" s="30">
        <f t="shared" ref="Q25:Q31" si="8">O25-P25</f>
        <v>-15</v>
      </c>
      <c r="R25" s="29" t="str">
        <f>Chicago_Blackhawks!$AA$87</f>
        <v>L1</v>
      </c>
      <c r="S25" s="28" t="str">
        <f>Chicago_Blackhawks!$AD$87</f>
        <v>3-6-0</v>
      </c>
    </row>
    <row r="26" spans="1:19" x14ac:dyDescent="0.3">
      <c r="A26" s="32" t="s">
        <v>24</v>
      </c>
      <c r="B26" s="1">
        <f>Colorado_Avalanche!$D$88</f>
        <v>10</v>
      </c>
      <c r="C26" s="1">
        <f>Colorado_Avalanche!$I$86</f>
        <v>5</v>
      </c>
      <c r="D26" s="1">
        <f>Colorado_Avalanche!$J$86</f>
        <v>4</v>
      </c>
      <c r="E26" s="20">
        <f>Colorado_Avalanche!$L$86</f>
        <v>1</v>
      </c>
      <c r="F26" s="30">
        <f t="shared" si="6"/>
        <v>11</v>
      </c>
      <c r="G26" s="20">
        <f>C26-Colorado_Avalanche!$K$86</f>
        <v>5</v>
      </c>
      <c r="H26" s="20">
        <f t="shared" si="7"/>
        <v>5</v>
      </c>
      <c r="I26" s="20">
        <f>Colorado_Avalanche!$M$86</f>
        <v>0</v>
      </c>
      <c r="J26" s="20">
        <f>Colorado_Avalanche!$N$86</f>
        <v>1</v>
      </c>
      <c r="K26" s="29" t="str">
        <f>Colorado_Avalanche!$O$87</f>
        <v>3-1-1</v>
      </c>
      <c r="L26" s="1" t="str">
        <f>Colorado_Avalanche!$R$87</f>
        <v>2-3-0</v>
      </c>
      <c r="M26" s="1" t="str">
        <f>Colorado_Avalanche!$U$87</f>
        <v>2-1-1</v>
      </c>
      <c r="N26" s="1" t="str">
        <f>Colorado_Avalanche!$X$87</f>
        <v>4-1-1</v>
      </c>
      <c r="O26" s="31">
        <f>Colorado_Avalanche!$E$87</f>
        <v>41</v>
      </c>
      <c r="P26" s="20">
        <f>Colorado_Avalanche!$F$87</f>
        <v>31</v>
      </c>
      <c r="Q26" s="30">
        <f t="shared" si="8"/>
        <v>10</v>
      </c>
      <c r="R26" s="29" t="str">
        <f>Colorado_Avalanche!$AA$87</f>
        <v>L2</v>
      </c>
      <c r="S26" s="28" t="str">
        <f>Colorado_Avalanche!$AD$87</f>
        <v>5-4-1</v>
      </c>
    </row>
    <row r="27" spans="1:19" x14ac:dyDescent="0.3">
      <c r="A27" s="32" t="s">
        <v>22</v>
      </c>
      <c r="B27" s="1">
        <f>Dallas_Stars!$D$88</f>
        <v>9</v>
      </c>
      <c r="C27" s="1">
        <f>Dallas_Stars!$I$86</f>
        <v>5</v>
      </c>
      <c r="D27" s="1">
        <f>Dallas_Stars!$J$86</f>
        <v>3</v>
      </c>
      <c r="E27" s="20">
        <f>Dallas_Stars!$L$86</f>
        <v>1</v>
      </c>
      <c r="F27" s="30">
        <f t="shared" si="6"/>
        <v>11</v>
      </c>
      <c r="G27" s="20">
        <f>C27-Dallas_Stars!$K$86</f>
        <v>3</v>
      </c>
      <c r="H27" s="20">
        <f t="shared" si="7"/>
        <v>4</v>
      </c>
      <c r="I27" s="20">
        <f>Dallas_Stars!$M$86</f>
        <v>1</v>
      </c>
      <c r="J27" s="20">
        <f>Dallas_Stars!$N$86</f>
        <v>1</v>
      </c>
      <c r="K27" s="29" t="str">
        <f>Dallas_Stars!$O$87</f>
        <v>2-2-0</v>
      </c>
      <c r="L27" s="1" t="str">
        <f>Dallas_Stars!$R$87</f>
        <v>3-1-1</v>
      </c>
      <c r="M27" s="1" t="str">
        <f>Dallas_Stars!$U$87</f>
        <v>2-3-0</v>
      </c>
      <c r="N27" s="1" t="str">
        <f>Dallas_Stars!$X$87</f>
        <v>3-3-0</v>
      </c>
      <c r="O27" s="31">
        <f>Dallas_Stars!$E$87</f>
        <v>23</v>
      </c>
      <c r="P27" s="20">
        <f>Dallas_Stars!$F$87</f>
        <v>15</v>
      </c>
      <c r="Q27" s="30">
        <f t="shared" si="8"/>
        <v>8</v>
      </c>
      <c r="R27" s="29" t="str">
        <f>Dallas_Stars!$AA$87</f>
        <v>W3</v>
      </c>
      <c r="S27" s="28" t="str">
        <f>Dallas_Stars!$AD$87</f>
        <v>5-3-1</v>
      </c>
    </row>
    <row r="28" spans="1:19" x14ac:dyDescent="0.3">
      <c r="A28" s="32" t="s">
        <v>17</v>
      </c>
      <c r="B28" s="1">
        <f>Minnesota_Wild!$D$88</f>
        <v>10</v>
      </c>
      <c r="C28" s="1">
        <f>Minnesota_Wild!$I$86</f>
        <v>6</v>
      </c>
      <c r="D28" s="1">
        <f>Minnesota_Wild!$J$86</f>
        <v>2</v>
      </c>
      <c r="E28" s="20">
        <f>Minnesota_Wild!$L$86</f>
        <v>2</v>
      </c>
      <c r="F28" s="30">
        <f t="shared" si="6"/>
        <v>14</v>
      </c>
      <c r="G28" s="20">
        <f>C28-Minnesota_Wild!$K$86</f>
        <v>6</v>
      </c>
      <c r="H28" s="20">
        <f t="shared" si="7"/>
        <v>6</v>
      </c>
      <c r="I28" s="20">
        <f>Minnesota_Wild!$M$86</f>
        <v>0</v>
      </c>
      <c r="J28" s="20">
        <f>Minnesota_Wild!$N$86</f>
        <v>0</v>
      </c>
      <c r="K28" s="29" t="str">
        <f>Minnesota_Wild!$O$87</f>
        <v>4-0-0</v>
      </c>
      <c r="L28" s="1" t="str">
        <f>Minnesota_Wild!$R$87</f>
        <v>2-2-2</v>
      </c>
      <c r="M28" s="1" t="str">
        <f>Minnesota_Wild!$U$87</f>
        <v>2-1-0</v>
      </c>
      <c r="N28" s="1" t="str">
        <f>Minnesota_Wild!$X$87</f>
        <v>3-1-1</v>
      </c>
      <c r="O28" s="31">
        <f>Minnesota_Wild!$E$87</f>
        <v>31</v>
      </c>
      <c r="P28" s="20">
        <f>Minnesota_Wild!$F$87</f>
        <v>25</v>
      </c>
      <c r="Q28" s="30">
        <f t="shared" si="8"/>
        <v>6</v>
      </c>
      <c r="R28" s="29" t="str">
        <f>Minnesota_Wild!$AA$87</f>
        <v>L1</v>
      </c>
      <c r="S28" s="28" t="str">
        <f>Minnesota_Wild!$AD$87</f>
        <v>6-2-2</v>
      </c>
    </row>
    <row r="29" spans="1:19" x14ac:dyDescent="0.3">
      <c r="A29" s="32" t="s">
        <v>15</v>
      </c>
      <c r="B29" s="1">
        <f>Nashville_Predators!$D$88</f>
        <v>8</v>
      </c>
      <c r="C29" s="1">
        <f>Nashville_Predators!$I$86</f>
        <v>3</v>
      </c>
      <c r="D29" s="1">
        <f>Nashville_Predators!$J$86</f>
        <v>2</v>
      </c>
      <c r="E29" s="20">
        <f>Nashville_Predators!$L$86</f>
        <v>3</v>
      </c>
      <c r="F29" s="30">
        <f t="shared" si="6"/>
        <v>9</v>
      </c>
      <c r="G29" s="20">
        <f>C29-Nashville_Predators!$K$86</f>
        <v>3</v>
      </c>
      <c r="H29" s="20">
        <f t="shared" si="7"/>
        <v>3</v>
      </c>
      <c r="I29" s="20">
        <f>Nashville_Predators!$M$86</f>
        <v>0</v>
      </c>
      <c r="J29" s="20">
        <f>Nashville_Predators!$N$86</f>
        <v>2</v>
      </c>
      <c r="K29" s="29" t="str">
        <f>Nashville_Predators!$O$87</f>
        <v>2-2-1</v>
      </c>
      <c r="L29" s="1" t="str">
        <f>Nashville_Predators!$R$87</f>
        <v>1-0-2</v>
      </c>
      <c r="M29" s="1" t="str">
        <f>Nashville_Predators!$U$87</f>
        <v>2-1-0</v>
      </c>
      <c r="N29" s="1" t="str">
        <f>Nashville_Predators!$X$87</f>
        <v>2-2-1</v>
      </c>
      <c r="O29" s="31">
        <f>Nashville_Predators!$E$87</f>
        <v>23</v>
      </c>
      <c r="P29" s="20">
        <f>Nashville_Predators!$F$87</f>
        <v>24</v>
      </c>
      <c r="Q29" s="30">
        <f t="shared" si="8"/>
        <v>-1</v>
      </c>
      <c r="R29" s="29" t="str">
        <f>Nashville_Predators!$AA$87</f>
        <v>W1</v>
      </c>
      <c r="S29" s="28" t="str">
        <f>Nashville_Predators!$AD$87</f>
        <v>3-2-3</v>
      </c>
    </row>
    <row r="30" spans="1:19" x14ac:dyDescent="0.3">
      <c r="A30" s="32" t="s">
        <v>6</v>
      </c>
      <c r="B30" s="1">
        <f>St_Louis_Blues!$D$88</f>
        <v>9</v>
      </c>
      <c r="C30" s="1">
        <f>St_Louis_Blues!$I$86</f>
        <v>4</v>
      </c>
      <c r="D30" s="1">
        <f>St_Louis_Blues!$J$86</f>
        <v>4</v>
      </c>
      <c r="E30" s="20">
        <f>St_Louis_Blues!$L$86</f>
        <v>1</v>
      </c>
      <c r="F30" s="30">
        <f t="shared" si="6"/>
        <v>9</v>
      </c>
      <c r="G30" s="20">
        <f>C30-St_Louis_Blues!$K$86</f>
        <v>4</v>
      </c>
      <c r="H30" s="20">
        <f t="shared" si="7"/>
        <v>4</v>
      </c>
      <c r="I30" s="20">
        <f>St_Louis_Blues!$M$86</f>
        <v>0</v>
      </c>
      <c r="J30" s="20">
        <f>St_Louis_Blues!$N$86</f>
        <v>0</v>
      </c>
      <c r="K30" s="29" t="str">
        <f>St_Louis_Blues!$O$87</f>
        <v>2-0-1</v>
      </c>
      <c r="L30" s="1" t="str">
        <f>St_Louis_Blues!$R$87</f>
        <v>2-4-0</v>
      </c>
      <c r="M30" s="1" t="str">
        <f>St_Louis_Blues!$U$87</f>
        <v>2-4-0</v>
      </c>
      <c r="N30" s="1" t="str">
        <f>St_Louis_Blues!$X$87</f>
        <v>2-4-1</v>
      </c>
      <c r="O30" s="31">
        <f>St_Louis_Blues!$E$87</f>
        <v>29</v>
      </c>
      <c r="P30" s="20">
        <f>St_Louis_Blues!$F$87</f>
        <v>29</v>
      </c>
      <c r="Q30" s="30">
        <f t="shared" si="8"/>
        <v>0</v>
      </c>
      <c r="R30" s="29" t="str">
        <f>St_Louis_Blues!$AA$87</f>
        <v>W1</v>
      </c>
      <c r="S30" s="28" t="str">
        <f>St_Louis_Blues!$AD$87</f>
        <v>4-4-1</v>
      </c>
    </row>
    <row r="31" spans="1:19" x14ac:dyDescent="0.3">
      <c r="A31" s="32" t="s">
        <v>89</v>
      </c>
      <c r="B31" s="1">
        <f>Utah_Mammoth!$D$88</f>
        <v>10</v>
      </c>
      <c r="C31" s="1">
        <f>Utah_Mammoth!$I$86</f>
        <v>7</v>
      </c>
      <c r="D31" s="1">
        <f>Utah_Mammoth!$J$86</f>
        <v>3</v>
      </c>
      <c r="E31" s="20">
        <f>Utah_Mammoth!$L$86</f>
        <v>0</v>
      </c>
      <c r="F31" s="30">
        <f t="shared" si="6"/>
        <v>14</v>
      </c>
      <c r="G31" s="20">
        <f>C31-Utah_Mammoth!$K$86</f>
        <v>7</v>
      </c>
      <c r="H31" s="20">
        <f t="shared" si="7"/>
        <v>7</v>
      </c>
      <c r="I31" s="20">
        <f>Utah_Mammoth!$M$86</f>
        <v>0</v>
      </c>
      <c r="J31" s="20">
        <f>Utah_Mammoth!$N$86</f>
        <v>0</v>
      </c>
      <c r="K31" s="29" t="str">
        <f>Utah_Mammoth!$O$87</f>
        <v>3-1-0</v>
      </c>
      <c r="L31" s="1" t="str">
        <f>Utah_Mammoth!$R$87</f>
        <v>4-2-0</v>
      </c>
      <c r="M31" s="1" t="str">
        <f>Utah_Mammoth!$U$87</f>
        <v>1-0-0</v>
      </c>
      <c r="N31" s="1" t="str">
        <f>Utah_Mammoth!$X$87</f>
        <v>2-1-0</v>
      </c>
      <c r="O31" s="31">
        <f>Utah_Mammoth!$E$87</f>
        <v>38</v>
      </c>
      <c r="P31" s="20">
        <f>Utah_Mammoth!$F$87</f>
        <v>31</v>
      </c>
      <c r="Q31" s="30">
        <f t="shared" si="8"/>
        <v>7</v>
      </c>
      <c r="R31" s="29" t="str">
        <f>Utah_Mammoth!$AA$87</f>
        <v>W1</v>
      </c>
      <c r="S31" s="28" t="str">
        <f>Utah_Mammoth!$AD$87</f>
        <v>7-3-0</v>
      </c>
    </row>
    <row r="32" spans="1:19" ht="15" thickBot="1" x14ac:dyDescent="0.35">
      <c r="A32" s="32" t="s">
        <v>0</v>
      </c>
      <c r="B32" s="1">
        <f>Winnipeg_Jets!$D$88</f>
        <v>9</v>
      </c>
      <c r="C32" s="1">
        <f>Winnipeg_Jets!$I$86</f>
        <v>4</v>
      </c>
      <c r="D32" s="1">
        <f>Winnipeg_Jets!$J$86</f>
        <v>3</v>
      </c>
      <c r="E32" s="20">
        <f>Winnipeg_Jets!$L$86</f>
        <v>2</v>
      </c>
      <c r="F32" s="23">
        <f t="shared" ref="F32" si="9">(C32*2)+E32</f>
        <v>10</v>
      </c>
      <c r="G32" s="20">
        <f>C32-Winnipeg_Jets!$K$86</f>
        <v>4</v>
      </c>
      <c r="H32" s="20">
        <f t="shared" ref="H32" si="10">C32-I32</f>
        <v>4</v>
      </c>
      <c r="I32" s="20">
        <f>Winnipeg_Jets!$M$86</f>
        <v>0</v>
      </c>
      <c r="J32" s="20">
        <f>Winnipeg_Jets!$N$86</f>
        <v>0</v>
      </c>
      <c r="K32" s="29" t="str">
        <f>Winnipeg_Jets!$O$87</f>
        <v>2-2-1</v>
      </c>
      <c r="L32" s="1" t="str">
        <f>Winnipeg_Jets!$R$87</f>
        <v>2-1-1</v>
      </c>
      <c r="M32" s="1" t="str">
        <f>Winnipeg_Jets!$U$87</f>
        <v>1-1-1</v>
      </c>
      <c r="N32" s="1" t="str">
        <f>Winnipeg_Jets!$X$87</f>
        <v>2-2-1</v>
      </c>
      <c r="O32" s="31">
        <f>Winnipeg_Jets!$E$87</f>
        <v>24</v>
      </c>
      <c r="P32" s="20">
        <f>Winnipeg_Jets!$F$87</f>
        <v>26</v>
      </c>
      <c r="Q32" s="30">
        <f t="shared" ref="Q32" si="11">O32-P32</f>
        <v>-2</v>
      </c>
      <c r="R32" s="29" t="str">
        <f>Winnipeg_Jets!$AA$87</f>
        <v>L3</v>
      </c>
      <c r="S32" s="28" t="str">
        <f>Winnipeg_Jets!$AD$87</f>
        <v>4-3-2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9</v>
      </c>
      <c r="C35" s="1">
        <f>Anaheim_Ducks!$I$86</f>
        <v>4</v>
      </c>
      <c r="D35" s="1">
        <f>Anaheim_Ducks!$J$86</f>
        <v>5</v>
      </c>
      <c r="E35" s="20">
        <f>Anaheim_Ducks!$L$86</f>
        <v>0</v>
      </c>
      <c r="F35" s="33">
        <f t="shared" ref="F35:F42" si="12">(C35*2)+E35</f>
        <v>8</v>
      </c>
      <c r="G35" s="20">
        <f>C35-Anaheim_Ducks!$K$86</f>
        <v>3</v>
      </c>
      <c r="H35" s="20">
        <f t="shared" ref="H35:H42" si="13">C35-I35</f>
        <v>4</v>
      </c>
      <c r="I35" s="20">
        <f>Anaheim_Ducks!$M$86</f>
        <v>0</v>
      </c>
      <c r="J35" s="20">
        <f>Anaheim_Ducks!$N$86</f>
        <v>0</v>
      </c>
      <c r="K35" s="29" t="str">
        <f>Anaheim_Ducks!$O$87</f>
        <v>1-3-0</v>
      </c>
      <c r="L35" s="1" t="str">
        <f>Anaheim_Ducks!$R$87</f>
        <v>3-2-0</v>
      </c>
      <c r="M35" s="1" t="str">
        <f>Anaheim_Ducks!$U$87</f>
        <v>2-2-0</v>
      </c>
      <c r="N35" s="1" t="str">
        <f>Anaheim_Ducks!$X$87</f>
        <v>3-2-0</v>
      </c>
      <c r="O35" s="31">
        <f>Anaheim_Ducks!$E$87</f>
        <v>26</v>
      </c>
      <c r="P35" s="20">
        <f>Anaheim_Ducks!$F$87</f>
        <v>29</v>
      </c>
      <c r="Q35" s="30">
        <f t="shared" ref="Q35:Q42" si="14">O35-P35</f>
        <v>-3</v>
      </c>
      <c r="R35" s="29" t="str">
        <f>Anaheim_Ducks!$AA$87</f>
        <v>L4</v>
      </c>
      <c r="S35" s="28" t="str">
        <f>Anaheim_Ducks!$AD$87</f>
        <v>4-5-0</v>
      </c>
    </row>
    <row r="36" spans="1:19" x14ac:dyDescent="0.3">
      <c r="A36" s="32" t="s">
        <v>27</v>
      </c>
      <c r="B36" s="1">
        <f>Calgary_Flames!$D$88</f>
        <v>8</v>
      </c>
      <c r="C36" s="1">
        <f>Calgary_Flames!$I$86</f>
        <v>2</v>
      </c>
      <c r="D36" s="1">
        <f>Calgary_Flames!$J$86</f>
        <v>6</v>
      </c>
      <c r="E36" s="20">
        <f>Calgary_Flames!$L$86</f>
        <v>0</v>
      </c>
      <c r="F36" s="30">
        <f t="shared" si="12"/>
        <v>4</v>
      </c>
      <c r="G36" s="20">
        <f>C36-Calgary_Flames!$K$86</f>
        <v>2</v>
      </c>
      <c r="H36" s="20">
        <f t="shared" si="13"/>
        <v>2</v>
      </c>
      <c r="I36" s="20">
        <f>Calgary_Flames!$M$86</f>
        <v>0</v>
      </c>
      <c r="J36" s="20">
        <f>Calgary_Flames!$N$86</f>
        <v>0</v>
      </c>
      <c r="K36" s="29" t="str">
        <f>Calgary_Flames!$O$87</f>
        <v>1-3-0</v>
      </c>
      <c r="L36" s="1" t="str">
        <f>Calgary_Flames!$R$87</f>
        <v>1-3-0</v>
      </c>
      <c r="M36" s="1" t="str">
        <f>Calgary_Flames!$U$87</f>
        <v>1-5-0</v>
      </c>
      <c r="N36" s="1" t="str">
        <f>Calgary_Flames!$X$87</f>
        <v>1-6-0</v>
      </c>
      <c r="O36" s="31">
        <f>Calgary_Flames!$E$87</f>
        <v>17</v>
      </c>
      <c r="P36" s="20">
        <f>Calgary_Flames!$F$87</f>
        <v>37</v>
      </c>
      <c r="Q36" s="30">
        <f t="shared" si="14"/>
        <v>-20</v>
      </c>
      <c r="R36" s="29" t="str">
        <f>Calgary_Flames!$AA$87</f>
        <v>W1</v>
      </c>
      <c r="S36" s="28" t="str">
        <f>Calgary_Flames!$AD$87</f>
        <v>2-6-0</v>
      </c>
    </row>
    <row r="37" spans="1:19" x14ac:dyDescent="0.3">
      <c r="A37" s="32" t="s">
        <v>20</v>
      </c>
      <c r="B37" s="1">
        <f>Edmonton_Oilers!$D$88</f>
        <v>9</v>
      </c>
      <c r="C37" s="1">
        <f>Edmonton_Oilers!$I$86</f>
        <v>7</v>
      </c>
      <c r="D37" s="1">
        <f>Edmonton_Oilers!$J$86</f>
        <v>1</v>
      </c>
      <c r="E37" s="20">
        <f>Edmonton_Oilers!$L$86</f>
        <v>1</v>
      </c>
      <c r="F37" s="30">
        <f t="shared" si="12"/>
        <v>15</v>
      </c>
      <c r="G37" s="20">
        <f>C37-Edmonton_Oilers!$K$86</f>
        <v>6</v>
      </c>
      <c r="H37" s="20">
        <f t="shared" si="13"/>
        <v>7</v>
      </c>
      <c r="I37" s="20">
        <f>Edmonton_Oilers!$M$86</f>
        <v>0</v>
      </c>
      <c r="J37" s="20">
        <f>Edmonton_Oilers!$N$86</f>
        <v>0</v>
      </c>
      <c r="K37" s="29" t="str">
        <f>Edmonton_Oilers!$O$87</f>
        <v>2-1-1</v>
      </c>
      <c r="L37" s="1" t="str">
        <f>Edmonton_Oilers!$R$87</f>
        <v>5-0-0</v>
      </c>
      <c r="M37" s="1" t="str">
        <f>Edmonton_Oilers!$U$87</f>
        <v>5-0-1</v>
      </c>
      <c r="N37" s="1" t="str">
        <f>Edmonton_Oilers!$X$87</f>
        <v>7-1-1</v>
      </c>
      <c r="O37" s="31">
        <f>Edmonton_Oilers!$E$87</f>
        <v>41</v>
      </c>
      <c r="P37" s="20">
        <f>Edmonton_Oilers!$F$87</f>
        <v>27</v>
      </c>
      <c r="Q37" s="30">
        <f t="shared" si="14"/>
        <v>14</v>
      </c>
      <c r="R37" s="29" t="str">
        <f>Edmonton_Oilers!$AA$87</f>
        <v>W2</v>
      </c>
      <c r="S37" s="28" t="str">
        <f>Edmonton_Oilers!$AD$87</f>
        <v>7-1-1</v>
      </c>
    </row>
    <row r="38" spans="1:19" x14ac:dyDescent="0.3">
      <c r="A38" s="32" t="s">
        <v>18</v>
      </c>
      <c r="B38" s="1">
        <f>Los_Angeles_Kings!$D$88</f>
        <v>7</v>
      </c>
      <c r="C38" s="1">
        <f>Los_Angeles_Kings!$I$86</f>
        <v>1</v>
      </c>
      <c r="D38" s="1">
        <f>Los_Angeles_Kings!$J$86</f>
        <v>4</v>
      </c>
      <c r="E38" s="20">
        <f>Los_Angeles_Kings!$L$86</f>
        <v>2</v>
      </c>
      <c r="F38" s="30">
        <f t="shared" si="12"/>
        <v>4</v>
      </c>
      <c r="G38" s="20">
        <f>C38-Los_Angeles_Kings!$K$86</f>
        <v>1</v>
      </c>
      <c r="H38" s="20">
        <f t="shared" si="13"/>
        <v>1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0-3-0</v>
      </c>
      <c r="L38" s="1" t="str">
        <f>Los_Angeles_Kings!$R$87</f>
        <v>1-1-2</v>
      </c>
      <c r="M38" s="1" t="str">
        <f>Los_Angeles_Kings!$U$87</f>
        <v>0-1-2</v>
      </c>
      <c r="N38" s="1" t="str">
        <f>Los_Angeles_Kings!$X$87</f>
        <v>0-2-2</v>
      </c>
      <c r="O38" s="31">
        <f>Los_Angeles_Kings!$E$87</f>
        <v>17</v>
      </c>
      <c r="P38" s="20">
        <f>Los_Angeles_Kings!$F$87</f>
        <v>27</v>
      </c>
      <c r="Q38" s="30">
        <f t="shared" si="14"/>
        <v>-10</v>
      </c>
      <c r="R38" s="29" t="str">
        <f>Los_Angeles_Kings!$AA$87</f>
        <v>W1</v>
      </c>
      <c r="S38" s="28" t="str">
        <f>Los_Angeles_Kings!$AD$87</f>
        <v>1-4-2</v>
      </c>
    </row>
    <row r="39" spans="1:19" x14ac:dyDescent="0.3">
      <c r="A39" s="32" t="s">
        <v>8</v>
      </c>
      <c r="B39" s="1">
        <f>San_Jose_Sharks!$D$88</f>
        <v>10</v>
      </c>
      <c r="C39" s="1">
        <f>San_Jose_Sharks!$I$86</f>
        <v>5</v>
      </c>
      <c r="D39" s="1">
        <f>San_Jose_Sharks!$J$86</f>
        <v>4</v>
      </c>
      <c r="E39" s="20">
        <f>San_Jose_Sharks!$L$86</f>
        <v>1</v>
      </c>
      <c r="F39" s="30">
        <f t="shared" si="12"/>
        <v>11</v>
      </c>
      <c r="G39" s="20">
        <f>C39-San_Jose_Sharks!$K$86</f>
        <v>0</v>
      </c>
      <c r="H39" s="20">
        <f t="shared" si="13"/>
        <v>4</v>
      </c>
      <c r="I39" s="20">
        <f>San_Jose_Sharks!$M$86</f>
        <v>1</v>
      </c>
      <c r="J39" s="20">
        <f>San_Jose_Sharks!$N$86</f>
        <v>1</v>
      </c>
      <c r="K39" s="29" t="str">
        <f>San_Jose_Sharks!$O$87</f>
        <v>2-2-0</v>
      </c>
      <c r="L39" s="1" t="str">
        <f>San_Jose_Sharks!$R$87</f>
        <v>3-2-1</v>
      </c>
      <c r="M39" s="1" t="str">
        <f>San_Jose_Sharks!$U$87</f>
        <v>1-1-0</v>
      </c>
      <c r="N39" s="1" t="str">
        <f>San_Jose_Sharks!$X$87</f>
        <v>3-2-0</v>
      </c>
      <c r="O39" s="31">
        <f>San_Jose_Sharks!$E$87</f>
        <v>27</v>
      </c>
      <c r="P39" s="20">
        <f>San_Jose_Sharks!$F$87</f>
        <v>35</v>
      </c>
      <c r="Q39" s="30">
        <f t="shared" si="14"/>
        <v>-8</v>
      </c>
      <c r="R39" s="29" t="str">
        <f>San_Jose_Sharks!$AA$87</f>
        <v>W1</v>
      </c>
      <c r="S39" s="28" t="str">
        <f>San_Jose_Sharks!$AD$87</f>
        <v>5-4-1</v>
      </c>
    </row>
    <row r="40" spans="1:19" x14ac:dyDescent="0.3">
      <c r="A40" s="32" t="s">
        <v>7</v>
      </c>
      <c r="B40" s="1">
        <f>Seattle_Kraken!$D$88</f>
        <v>10</v>
      </c>
      <c r="C40" s="1">
        <f>Seattle_Kraken!$I$86</f>
        <v>6</v>
      </c>
      <c r="D40" s="1">
        <f>Seattle_Kraken!$J$86</f>
        <v>3</v>
      </c>
      <c r="E40" s="20">
        <f>Seattle_Kraken!$L$86</f>
        <v>1</v>
      </c>
      <c r="F40" s="30">
        <f t="shared" si="12"/>
        <v>13</v>
      </c>
      <c r="G40" s="20">
        <f>C40-Seattle_Kraken!$K$86</f>
        <v>4</v>
      </c>
      <c r="H40" s="20">
        <f t="shared" si="13"/>
        <v>4</v>
      </c>
      <c r="I40" s="20">
        <f>Seattle_Kraken!$M$86</f>
        <v>2</v>
      </c>
      <c r="J40" s="20">
        <f>Seattle_Kraken!$N$86</f>
        <v>0</v>
      </c>
      <c r="K40" s="29" t="str">
        <f>Seattle_Kraken!$O$87</f>
        <v>2-1-0</v>
      </c>
      <c r="L40" s="1" t="str">
        <f>Seattle_Kraken!$R$87</f>
        <v>4-2-1</v>
      </c>
      <c r="M40" s="1" t="str">
        <f>Seattle_Kraken!$U$87</f>
        <v>2-2-0</v>
      </c>
      <c r="N40" s="1" t="str">
        <f>Seattle_Kraken!$X$87</f>
        <v>2-2-0</v>
      </c>
      <c r="O40" s="31">
        <f>Seattle_Kraken!$E$87</f>
        <v>39</v>
      </c>
      <c r="P40" s="20">
        <f>Seattle_Kraken!$F$87</f>
        <v>34</v>
      </c>
      <c r="Q40" s="30">
        <f t="shared" si="14"/>
        <v>5</v>
      </c>
      <c r="R40" s="29" t="str">
        <f>Seattle_Kraken!$AA$87</f>
        <v>W1</v>
      </c>
      <c r="S40" s="28" t="str">
        <f>Seattle_Kraken!$AD$87</f>
        <v>6-3-1</v>
      </c>
    </row>
    <row r="41" spans="1:19" x14ac:dyDescent="0.3">
      <c r="A41" s="32" t="s">
        <v>3</v>
      </c>
      <c r="B41" s="1">
        <f>Vancouver_Canucks!$D$88</f>
        <v>11</v>
      </c>
      <c r="C41" s="1">
        <f>Vancouver_Canucks!$I$86</f>
        <v>2</v>
      </c>
      <c r="D41" s="1">
        <f>Vancouver_Canucks!$J$86</f>
        <v>8</v>
      </c>
      <c r="E41" s="20">
        <f>Vancouver_Canucks!$L$86</f>
        <v>1</v>
      </c>
      <c r="F41" s="30">
        <f t="shared" si="12"/>
        <v>5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1-3-0</v>
      </c>
      <c r="L41" s="1" t="str">
        <f>Vancouver_Canucks!$R$87</f>
        <v>1-5-1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33</v>
      </c>
      <c r="P41" s="20">
        <f>Vancouver_Canucks!$F$87</f>
        <v>51</v>
      </c>
      <c r="Q41" s="30">
        <f t="shared" si="14"/>
        <v>-18</v>
      </c>
      <c r="R41" s="29" t="str">
        <f>Vancouver_Canucks!$AA$87</f>
        <v>L8</v>
      </c>
      <c r="S41" s="28" t="str">
        <f>Vancouver_Canucks!$AD$87</f>
        <v>1-8-1</v>
      </c>
    </row>
    <row r="42" spans="1:19" ht="15" thickBot="1" x14ac:dyDescent="0.35">
      <c r="A42" s="27" t="s">
        <v>2</v>
      </c>
      <c r="B42" s="26">
        <f>Vegas_Golden_Knights!$D$88</f>
        <v>11</v>
      </c>
      <c r="C42" s="26">
        <f>Vegas_Golden_Knights!$I$86</f>
        <v>8</v>
      </c>
      <c r="D42" s="26">
        <f>Vegas_Golden_Knights!$J$86</f>
        <v>3</v>
      </c>
      <c r="E42" s="24">
        <f>Vegas_Golden_Knights!$L$86</f>
        <v>0</v>
      </c>
      <c r="F42" s="23">
        <f t="shared" si="12"/>
        <v>16</v>
      </c>
      <c r="G42" s="24">
        <f>C42-Vegas_Golden_Knights!$K$86</f>
        <v>6</v>
      </c>
      <c r="H42" s="24">
        <f t="shared" si="13"/>
        <v>7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5-2-0</v>
      </c>
      <c r="L42" s="26" t="str">
        <f>Vegas_Golden_Knights!$R$87</f>
        <v>3-1-0</v>
      </c>
      <c r="M42" s="26" t="str">
        <f>Vegas_Golden_Knights!$U$87</f>
        <v>4-1-0</v>
      </c>
      <c r="N42" s="26" t="str">
        <f>Vegas_Golden_Knights!$X$87</f>
        <v>6-2-0</v>
      </c>
      <c r="O42" s="25">
        <f>Vegas_Golden_Knights!$E$87</f>
        <v>44</v>
      </c>
      <c r="P42" s="24">
        <f>Vegas_Golden_Knights!$F$87</f>
        <v>30</v>
      </c>
      <c r="Q42" s="23">
        <f t="shared" si="14"/>
        <v>14</v>
      </c>
      <c r="R42" s="22" t="str">
        <f>Vegas_Golden_Knights!$AA$87</f>
        <v>L1</v>
      </c>
      <c r="S42" s="21" t="str">
        <f>Vegas_Golden_Knights!$AD$87</f>
        <v>7-3-0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E10" s="1">
        <v>2</v>
      </c>
      <c r="F10" s="1">
        <v>3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5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26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3-2-0</v>
      </c>
      <c r="U87" s="1" t="str">
        <f>IF(U86="","0-0-0",CONCATENATE(U86,"-",V86,"-",W86))</f>
        <v>2-2-0</v>
      </c>
      <c r="X87" s="1" t="str">
        <f>IF(X86="","0-0-0",CONCATENATE(X86,"-",Y86,"-",Z86))</f>
        <v>3-2-0</v>
      </c>
      <c r="AA87" s="1" t="str">
        <f>IF(AA86="","0-0",CONCATENATE(AA86,AB86))</f>
        <v>L4</v>
      </c>
      <c r="AD87" s="1" t="str">
        <f>IF(AD86="","0-0-0",CONCATENATE(AD86,"-",AE86,"-",AF86))</f>
        <v>4-5-0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I87:J87"/>
    <mergeCell ref="U88:V88"/>
    <mergeCell ref="X1:Z1"/>
    <mergeCell ref="U1:W1"/>
    <mergeCell ref="R1:T1"/>
    <mergeCell ref="O1:Q1"/>
    <mergeCell ref="AA88:AB88"/>
    <mergeCell ref="X88:Y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E8" s="1">
        <v>6</v>
      </c>
      <c r="F8" s="1">
        <v>3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E10" s="1">
        <v>4</v>
      </c>
      <c r="F10" s="1">
        <v>1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5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E11" s="1">
        <v>2</v>
      </c>
      <c r="F11" s="1">
        <v>3</v>
      </c>
      <c r="G11" s="1" t="s">
        <v>78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1</v>
      </c>
      <c r="U11" s="1">
        <f t="shared" si="14"/>
        <v>0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36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4-1-1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L1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E8" s="1">
        <v>3</v>
      </c>
      <c r="F8" s="1">
        <v>4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E9" s="1">
        <v>5</v>
      </c>
      <c r="F9" s="1">
        <v>4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2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E11" s="1">
        <v>1</v>
      </c>
      <c r="F11" s="1">
        <v>3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4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1</v>
      </c>
      <c r="T11" s="1">
        <f t="shared" si="13"/>
        <v>2</v>
      </c>
      <c r="U11" s="1">
        <f t="shared" si="14"/>
        <v>2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4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2</v>
      </c>
      <c r="U86" s="1">
        <f t="shared" si="100"/>
        <v>2</v>
      </c>
      <c r="V86" s="1">
        <f t="shared" si="100"/>
        <v>0</v>
      </c>
      <c r="W86" s="1">
        <f t="shared" si="100"/>
        <v>2</v>
      </c>
      <c r="X86" s="1">
        <f t="shared" si="100"/>
        <v>2</v>
      </c>
      <c r="Y86" s="1">
        <f t="shared" si="100"/>
        <v>2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3-3-0</v>
      </c>
      <c r="R87" s="1" t="str">
        <f>IF(R86="","0-0-0",CONCATENATE(R86,"-",S86,"-",T86))</f>
        <v>1-1-2</v>
      </c>
      <c r="U87" s="1" t="str">
        <f>IF(U86="","0-0-0",CONCATENATE(U86,"-",V86,"-",W86))</f>
        <v>2-0-2</v>
      </c>
      <c r="X87" s="1" t="str">
        <f>IF(X86="","0-0-0",CONCATENATE(X86,"-",Y86,"-",Z86))</f>
        <v>2-2-2</v>
      </c>
      <c r="AA87" s="1" t="str">
        <f>IF(AA86="","0-0",CONCATENATE(AA86,AB86))</f>
        <v>L2</v>
      </c>
      <c r="AD87" s="1" t="str">
        <f>IF(AD86="","0-0-0",CONCATENATE(AD86,"-",AE86,"-",AF86))</f>
        <v>4-4-2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4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1</v>
      </c>
      <c r="J8" s="1">
        <f t="shared" si="3"/>
        <v>6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5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E9" s="1">
        <v>3</v>
      </c>
      <c r="F9" s="1">
        <v>2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5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6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5</v>
      </c>
      <c r="W86" s="1">
        <f t="shared" si="100"/>
        <v>0</v>
      </c>
      <c r="X86" s="1">
        <f t="shared" si="100"/>
        <v>1</v>
      </c>
      <c r="Y86" s="1">
        <f t="shared" si="100"/>
        <v>6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1-3-0</v>
      </c>
      <c r="U87" s="1" t="str">
        <f>IF(U86="","0-0-0",CONCATENATE(U86,"-",V86,"-",W86))</f>
        <v>1-5-0</v>
      </c>
      <c r="X87" s="1" t="str">
        <f>IF(X86="","0-0-0",CONCATENATE(X86,"-",Y86,"-",Z86))</f>
        <v>1-6-0</v>
      </c>
      <c r="AA87" s="1" t="str">
        <f>IF(AA86="","0-0",CONCATENATE(AA86,AB86))</f>
        <v>W1</v>
      </c>
      <c r="AD87" s="1" t="str">
        <f>IF(AD86="","0-0-0",CONCATENATE(AD86,"-",AE86,"-",AF86))</f>
        <v>2-6-0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E8" s="1">
        <v>4</v>
      </c>
      <c r="F8" s="1">
        <v>1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5</v>
      </c>
      <c r="AC8" s="1" t="str">
        <f t="shared" si="1"/>
        <v>W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4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6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7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E11" s="1">
        <v>2</v>
      </c>
      <c r="F11" s="1">
        <v>3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2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1</v>
      </c>
      <c r="R11" s="1">
        <f t="shared" si="11"/>
        <v>5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E12" s="1">
        <v>6</v>
      </c>
      <c r="F12" s="1">
        <v>3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2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2</v>
      </c>
      <c r="P12" s="1">
        <f t="shared" si="9"/>
        <v>1</v>
      </c>
      <c r="Q12" s="1">
        <f t="shared" si="10"/>
        <v>1</v>
      </c>
      <c r="R12" s="1">
        <f t="shared" si="11"/>
        <v>6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1</v>
      </c>
      <c r="R86" s="1">
        <f t="shared" si="100"/>
        <v>6</v>
      </c>
      <c r="S86" s="1">
        <f t="shared" si="100"/>
        <v>1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8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42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6-1-0</v>
      </c>
      <c r="U87" s="1" t="str">
        <f>IF(U86="","0-0-0",CONCATENATE(U86,"-",V86,"-",W86))</f>
        <v>3-1-0</v>
      </c>
      <c r="X87" s="1" t="str">
        <f>IF(X86="","0-0-0",CONCATENATE(X86,"-",Y86,"-",Z86))</f>
        <v>4-1-1</v>
      </c>
      <c r="AA87" s="1" t="str">
        <f>IF(AA86="","0-0",CONCATENATE(AA86,AB86))</f>
        <v>W1</v>
      </c>
      <c r="AD87" s="1" t="str">
        <f>IF(AD86="","0-0-0",CONCATENATE(AD86,"-",AE86,"-",AF86))</f>
        <v>8-2-0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E8" s="1">
        <v>5</v>
      </c>
      <c r="F8" s="1">
        <v>3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E10" s="1">
        <v>0</v>
      </c>
      <c r="F10" s="1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6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21</v>
      </c>
      <c r="F87" s="1">
        <f>SUM(F2:F85)</f>
        <v>36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0-4-0</v>
      </c>
      <c r="U87" s="1" t="str">
        <f>IF(U86="","0-0-0",CONCATENATE(U86,"-",V86,"-",W86))</f>
        <v>2-2-0</v>
      </c>
      <c r="X87" s="1" t="str">
        <f>IF(X86="","0-0-0",CONCATENATE(X86,"-",Y86,"-",Z86))</f>
        <v>2-3-0</v>
      </c>
      <c r="AA87" s="1" t="str">
        <f>IF(AA86="","0-0",CONCATENATE(AA86,AB86))</f>
        <v>L1</v>
      </c>
      <c r="AD87" s="1" t="str">
        <f>IF(AD86="","0-0-0",CONCATENATE(AD86,"-",AE86,"-",AF86))</f>
        <v>3-6-0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1</v>
      </c>
      <c r="X8" s="1">
        <f t="shared" si="17"/>
        <v>4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1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E10" s="1">
        <v>2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4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E11" s="1">
        <v>3</v>
      </c>
      <c r="F11" s="1">
        <v>4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4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4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3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1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41</v>
      </c>
      <c r="F87" s="1">
        <f>SUM(F2:F85)</f>
        <v>31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3-1-1</v>
      </c>
      <c r="R87" s="1" t="str">
        <f>IF(R86="","0-0-0",CONCATENATE(R86,"-",S86,"-",T86))</f>
        <v>2-3-0</v>
      </c>
      <c r="U87" s="1" t="str">
        <f>IF(U86="","0-0-0",CONCATENATE(U86,"-",V86,"-",W86))</f>
        <v>2-1-1</v>
      </c>
      <c r="X87" s="1" t="str">
        <f>IF(X86="","0-0-0",CONCATENATE(X86,"-",Y86,"-",Z86))</f>
        <v>4-1-1</v>
      </c>
      <c r="AA87" s="1" t="str">
        <f>IF(AA86="","0-0",CONCATENATE(AA86,AB86))</f>
        <v>L2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E6" s="1">
        <v>3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E7" s="1">
        <v>1</v>
      </c>
      <c r="F7" s="1">
        <v>0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E8" s="1">
        <v>1</v>
      </c>
      <c r="F8" s="1">
        <v>2</v>
      </c>
      <c r="G8" s="1" t="s">
        <v>77</v>
      </c>
      <c r="H8" s="1" t="s">
        <v>77</v>
      </c>
      <c r="I8" s="1">
        <f t="shared" si="2"/>
        <v>3</v>
      </c>
      <c r="J8" s="1">
        <f t="shared" si="3"/>
        <v>4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E9" s="1">
        <v>2</v>
      </c>
      <c r="F9" s="1">
        <v>6</v>
      </c>
      <c r="G9" s="1" t="s">
        <v>77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3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5</v>
      </c>
      <c r="K86" s="1">
        <f t="shared" si="99"/>
        <v>2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3-3-0</v>
      </c>
      <c r="R87" s="1" t="str">
        <f>IF(R86="","0-0-0",CONCATENATE(R86,"-",S86,"-",T86))</f>
        <v>0-2-0</v>
      </c>
      <c r="U87" s="1" t="str">
        <f>IF(U86="","0-0-0",CONCATENATE(U86,"-",V86,"-",W86))</f>
        <v>2-0-0</v>
      </c>
      <c r="X87" s="1" t="str">
        <f>IF(X86="","0-0-0",CONCATENATE(X86,"-",Y86,"-",Z86))</f>
        <v>3-2-0</v>
      </c>
      <c r="AA87" s="1" t="str">
        <f>IF(AA86="","0-0",CONCATENATE(AA86,AB86))</f>
        <v>L2</v>
      </c>
      <c r="AD87" s="1" t="str">
        <f>IF(AD86="","0-0-0",CONCATENATE(AD86,"-",AE86,"-",AF86))</f>
        <v>3-5-0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E7" s="1">
        <v>2</v>
      </c>
      <c r="F7" s="1">
        <v>3</v>
      </c>
      <c r="G7" s="1" t="s">
        <v>77</v>
      </c>
      <c r="H7" s="1" t="s">
        <v>77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E9" s="1">
        <v>4</v>
      </c>
      <c r="F9" s="1">
        <v>0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E10" s="1">
        <v>3</v>
      </c>
      <c r="F10" s="1">
        <v>2</v>
      </c>
      <c r="G10" s="1" t="s">
        <v>78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3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1</v>
      </c>
      <c r="U86" s="1">
        <f t="shared" si="100"/>
        <v>2</v>
      </c>
      <c r="V86" s="1">
        <f t="shared" si="100"/>
        <v>3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3-1-1</v>
      </c>
      <c r="U87" s="1" t="str">
        <f>IF(U86="","0-0-0",CONCATENATE(U86,"-",V86,"-",W86))</f>
        <v>2-3-0</v>
      </c>
      <c r="X87" s="1" t="str">
        <f>IF(X86="","0-0-0",CONCATENATE(X86,"-",Y86,"-",Z86))</f>
        <v>3-3-0</v>
      </c>
      <c r="AA87" s="1" t="str">
        <f>IF(AA86="","0-0",CONCATENATE(AA86,AB86))</f>
        <v>W3</v>
      </c>
      <c r="AD87" s="1" t="str">
        <f>IF(AD86="","0-0-0",CONCATENATE(AD86,"-",AE86,"-",AF86))</f>
        <v>5-3-1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E7" s="1">
        <v>4</v>
      </c>
      <c r="F7" s="1">
        <v>5</v>
      </c>
      <c r="G7" s="1" t="s">
        <v>78</v>
      </c>
      <c r="H7" s="1" t="s">
        <v>77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3</v>
      </c>
      <c r="Q7" s="1">
        <f t="shared" si="10"/>
        <v>1</v>
      </c>
      <c r="R7" s="1">
        <f t="shared" si="11"/>
        <v>0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E8" s="1">
        <v>2</v>
      </c>
      <c r="F8" s="1">
        <v>1</v>
      </c>
      <c r="G8" s="1" t="s">
        <v>77</v>
      </c>
      <c r="H8" s="1" t="s">
        <v>77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3</v>
      </c>
      <c r="Q8" s="1">
        <f t="shared" si="10"/>
        <v>1</v>
      </c>
      <c r="R8" s="1">
        <f t="shared" si="11"/>
        <v>0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E9" s="1">
        <v>4</v>
      </c>
      <c r="F9" s="1">
        <v>3</v>
      </c>
      <c r="G9" s="1" t="s">
        <v>78</v>
      </c>
      <c r="H9" s="1" t="s">
        <v>78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3</v>
      </c>
      <c r="P9" s="1">
        <f t="shared" si="9"/>
        <v>3</v>
      </c>
      <c r="Q9" s="1">
        <f t="shared" si="10"/>
        <v>1</v>
      </c>
      <c r="R9" s="1">
        <f t="shared" si="11"/>
        <v>0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2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E10" s="1">
        <v>3</v>
      </c>
      <c r="F10" s="1">
        <v>4</v>
      </c>
      <c r="G10" s="1" t="s">
        <v>78</v>
      </c>
      <c r="H10" s="1" t="s">
        <v>78</v>
      </c>
      <c r="I10" s="1">
        <f t="shared" si="2"/>
        <v>3</v>
      </c>
      <c r="J10" s="1">
        <f t="shared" si="3"/>
        <v>3</v>
      </c>
      <c r="K10" s="1">
        <f t="shared" si="4"/>
        <v>1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3</v>
      </c>
      <c r="P10" s="1">
        <f t="shared" si="9"/>
        <v>3</v>
      </c>
      <c r="Q10" s="1">
        <f t="shared" si="10"/>
        <v>1</v>
      </c>
      <c r="R10" s="1">
        <f t="shared" si="11"/>
        <v>0</v>
      </c>
      <c r="S10" s="1">
        <f t="shared" si="12"/>
        <v>0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1</v>
      </c>
      <c r="L86" s="1">
        <f t="shared" si="99"/>
        <v>3</v>
      </c>
      <c r="M86" s="1">
        <f t="shared" si="99"/>
        <v>1</v>
      </c>
      <c r="N86" s="1">
        <f t="shared" si="99"/>
        <v>2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2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28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3-3-1</v>
      </c>
      <c r="R87" s="1" t="str">
        <f>IF(R86="","0-0-0",CONCATENATE(R86,"-",S86,"-",T86))</f>
        <v>0-0-2</v>
      </c>
      <c r="U87" s="1" t="str">
        <f>IF(U86="","0-0-0",CONCATENATE(U86,"-",V86,"-",W86))</f>
        <v>1-0-1</v>
      </c>
      <c r="X87" s="1" t="str">
        <f>IF(X86="","0-0-0",CONCATENATE(X86,"-",Y86,"-",Z86))</f>
        <v>2-1-2</v>
      </c>
      <c r="AA87" s="1" t="str">
        <f>IF(AA86="","0-0",CONCATENATE(AA86,AB86))</f>
        <v>L1</v>
      </c>
      <c r="AD87" s="1" t="str">
        <f>IF(AD86="","0-0-0",CONCATENATE(AD86,"-",AE86,"-",AF86))</f>
        <v>3-3-3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4</v>
      </c>
      <c r="S7" s="1">
        <f t="shared" si="12"/>
        <v>0</v>
      </c>
      <c r="T7" s="1">
        <f t="shared" si="13"/>
        <v>0</v>
      </c>
      <c r="U7" s="1">
        <f t="shared" si="14"/>
        <v>5</v>
      </c>
      <c r="V7" s="1">
        <f t="shared" si="15"/>
        <v>0</v>
      </c>
      <c r="W7" s="1">
        <f t="shared" si="16"/>
        <v>1</v>
      </c>
      <c r="X7" s="1">
        <f t="shared" si="17"/>
        <v>5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5</v>
      </c>
      <c r="V8" s="1">
        <f t="shared" si="15"/>
        <v>0</v>
      </c>
      <c r="W8" s="1">
        <f t="shared" si="16"/>
        <v>1</v>
      </c>
      <c r="X8" s="1">
        <f t="shared" si="17"/>
        <v>5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E9" s="1">
        <v>6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1</v>
      </c>
      <c r="R9" s="1">
        <f t="shared" si="11"/>
        <v>5</v>
      </c>
      <c r="S9" s="1">
        <f t="shared" si="12"/>
        <v>0</v>
      </c>
      <c r="T9" s="1">
        <f t="shared" si="13"/>
        <v>0</v>
      </c>
      <c r="U9" s="1">
        <f t="shared" si="14"/>
        <v>5</v>
      </c>
      <c r="V9" s="1">
        <f t="shared" si="15"/>
        <v>0</v>
      </c>
      <c r="W9" s="1">
        <f t="shared" si="16"/>
        <v>1</v>
      </c>
      <c r="X9" s="1">
        <f t="shared" si="17"/>
        <v>6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E10" s="1">
        <v>4</v>
      </c>
      <c r="F10" s="1">
        <v>3</v>
      </c>
      <c r="G10" s="1" t="s">
        <v>78</v>
      </c>
      <c r="H10" s="1" t="s">
        <v>77</v>
      </c>
      <c r="I10" s="1">
        <f t="shared" si="2"/>
        <v>7</v>
      </c>
      <c r="J10" s="1">
        <f t="shared" si="3"/>
        <v>1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5</v>
      </c>
      <c r="S10" s="1">
        <f t="shared" si="12"/>
        <v>0</v>
      </c>
      <c r="T10" s="1">
        <f t="shared" si="13"/>
        <v>0</v>
      </c>
      <c r="U10" s="1">
        <f t="shared" si="14"/>
        <v>5</v>
      </c>
      <c r="V10" s="1">
        <f t="shared" si="15"/>
        <v>0</v>
      </c>
      <c r="W10" s="1">
        <f t="shared" si="16"/>
        <v>1</v>
      </c>
      <c r="X10" s="1">
        <f t="shared" si="17"/>
        <v>7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1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1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1</v>
      </c>
      <c r="R86" s="1">
        <f t="shared" si="100"/>
        <v>5</v>
      </c>
      <c r="S86" s="1">
        <f t="shared" si="100"/>
        <v>0</v>
      </c>
      <c r="T86" s="1">
        <f t="shared" si="100"/>
        <v>0</v>
      </c>
      <c r="U86" s="1">
        <f t="shared" si="100"/>
        <v>5</v>
      </c>
      <c r="V86" s="1">
        <f t="shared" si="100"/>
        <v>0</v>
      </c>
      <c r="W86" s="1">
        <f t="shared" si="100"/>
        <v>1</v>
      </c>
      <c r="X86" s="1">
        <f t="shared" si="100"/>
        <v>7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41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5-0-0</v>
      </c>
      <c r="U87" s="1" t="str">
        <f>IF(U86="","0-0-0",CONCATENATE(U86,"-",V86,"-",W86))</f>
        <v>5-0-1</v>
      </c>
      <c r="X87" s="1" t="str">
        <f>IF(X86="","0-0-0",CONCATENATE(X86,"-",Y86,"-",Z86))</f>
        <v>7-1-1</v>
      </c>
      <c r="AA87" s="1" t="str">
        <f>IF(AA86="","0-0",CONCATENATE(AA86,AB86))</f>
        <v>W2</v>
      </c>
      <c r="AD87" s="1" t="str">
        <f>IF(AD86="","0-0-0",CONCATENATE(AD86,"-",AE86,"-",AF86))</f>
        <v>7-1-1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E7" s="1">
        <v>3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E8" s="1">
        <v>7</v>
      </c>
      <c r="F8" s="1">
        <v>3</v>
      </c>
      <c r="G8" s="1" t="s">
        <v>77</v>
      </c>
      <c r="H8" s="1" t="s">
        <v>77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E10" s="1">
        <v>8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E11" s="1">
        <v>1</v>
      </c>
      <c r="F11" s="1">
        <v>5</v>
      </c>
      <c r="G11" s="1" t="s">
        <v>77</v>
      </c>
      <c r="H11" s="1" t="s">
        <v>77</v>
      </c>
      <c r="I11" s="1">
        <f t="shared" si="2"/>
        <v>5</v>
      </c>
      <c r="J11" s="1">
        <f t="shared" si="3"/>
        <v>3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2</v>
      </c>
      <c r="U11" s="1">
        <f t="shared" si="14"/>
        <v>0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3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2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31</v>
      </c>
      <c r="F87" s="1">
        <f>SUM(F2:F85)</f>
        <v>30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3-2-2</v>
      </c>
      <c r="U87" s="1" t="str">
        <f>IF(U86="","0-0-0",CONCATENATE(U86,"-",V86,"-",W86))</f>
        <v>0-2-0</v>
      </c>
      <c r="X87" s="1" t="str">
        <f>IF(X86="","0-0-0",CONCATENATE(X86,"-",Y86,"-",Z86))</f>
        <v>2-2-0</v>
      </c>
      <c r="AA87" s="1" t="str">
        <f>IF(AA86="","0-0",CONCATENATE(AA86,AB86))</f>
        <v>L1</v>
      </c>
      <c r="AD87" s="1" t="str">
        <f>IF(AD86="","0-0-0",CONCATENATE(AD86,"-",AE86,"-",AF86))</f>
        <v>5-3-2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2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2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E8" s="1">
        <v>5</v>
      </c>
      <c r="F8" s="1">
        <v>2</v>
      </c>
      <c r="G8" s="1" t="s">
        <v>77</v>
      </c>
      <c r="H8" s="1" t="s">
        <v>77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2</v>
      </c>
      <c r="X8" s="1">
        <f t="shared" si="17"/>
        <v>0</v>
      </c>
      <c r="Y8" s="1">
        <f t="shared" si="18"/>
        <v>2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4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2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1-1-2</v>
      </c>
      <c r="U87" s="1" t="str">
        <f>IF(U86="","0-0-0",CONCATENATE(U86,"-",V86,"-",W86))</f>
        <v>0-1-2</v>
      </c>
      <c r="X87" s="1" t="str">
        <f>IF(X86="","0-0-0",CONCATENATE(X86,"-",Y86,"-",Z86))</f>
        <v>0-2-2</v>
      </c>
      <c r="AA87" s="1" t="str">
        <f>IF(AA86="","0-0",CONCATENATE(AA86,AB86))</f>
        <v>W1</v>
      </c>
      <c r="AD87" s="1" t="str">
        <f>IF(AD86="","0-0-0",CONCATENATE(AD86,"-",AE86,"-",AF86))</f>
        <v>1-4-2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X1:Z1"/>
    <mergeCell ref="U1:W1"/>
    <mergeCell ref="R1:T1"/>
    <mergeCell ref="O1:Q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E8" s="1">
        <v>2</v>
      </c>
      <c r="F8" s="1">
        <v>5</v>
      </c>
      <c r="G8" s="1" t="s">
        <v>77</v>
      </c>
      <c r="H8" s="1" t="s">
        <v>77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E9" s="1">
        <v>5</v>
      </c>
      <c r="F9" s="1">
        <v>4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1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E11" s="1">
        <v>3</v>
      </c>
      <c r="F11" s="1">
        <v>4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2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6</v>
      </c>
      <c r="AE11" s="1">
        <f t="shared" si="22"/>
        <v>2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2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2</v>
      </c>
      <c r="T86" s="1">
        <f t="shared" si="100"/>
        <v>2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31</v>
      </c>
      <c r="F87" s="1">
        <f>SUM(F2:F85)</f>
        <v>25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4-0-0</v>
      </c>
      <c r="R87" s="1" t="str">
        <f>IF(R86="","0-0-0",CONCATENATE(R86,"-",S86,"-",T86))</f>
        <v>2-2-2</v>
      </c>
      <c r="U87" s="1" t="str">
        <f>IF(U86="","0-0-0",CONCATENATE(U86,"-",V86,"-",W86))</f>
        <v>2-1-0</v>
      </c>
      <c r="X87" s="1" t="str">
        <f>IF(X86="","0-0-0",CONCATENATE(X86,"-",Y86,"-",Z86))</f>
        <v>3-1-1</v>
      </c>
      <c r="AA87" s="1" t="str">
        <f>IF(AA86="","0-0",CONCATENATE(AA86,AB86))</f>
        <v>L1</v>
      </c>
      <c r="AD87" s="1" t="str">
        <f>IF(AD86="","0-0-0",CONCATENATE(AD86,"-",AE86,"-",AF86))</f>
        <v>6-2-2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E7" s="1">
        <v>4</v>
      </c>
      <c r="F7" s="1">
        <v>3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2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2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3</v>
      </c>
      <c r="L9" s="1">
        <f t="shared" si="5"/>
        <v>1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4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E10" s="1">
        <v>3</v>
      </c>
      <c r="F10" s="1">
        <v>4</v>
      </c>
      <c r="G10" s="1" t="s">
        <v>78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3</v>
      </c>
      <c r="L10" s="1">
        <f t="shared" si="5"/>
        <v>2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2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4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3</v>
      </c>
      <c r="L86" s="1">
        <f t="shared" si="99"/>
        <v>2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1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4</v>
      </c>
      <c r="V86" s="1">
        <f t="shared" si="100"/>
        <v>0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30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3-2-1</v>
      </c>
      <c r="R87" s="1" t="str">
        <f>IF(R86="","0-0-0",CONCATENATE(R86,"-",S86,"-",T86))</f>
        <v>1-1-1</v>
      </c>
      <c r="U87" s="1" t="str">
        <f>IF(U86="","0-0-0",CONCATENATE(U86,"-",V86,"-",W86))</f>
        <v>4-0-0</v>
      </c>
      <c r="X87" s="1" t="str">
        <f>IF(X86="","0-0-0",CONCATENATE(X86,"-",Y86,"-",Z86))</f>
        <v>4-2-1</v>
      </c>
      <c r="AA87" s="1" t="str">
        <f>IF(AA86="","0-0",CONCATENATE(AA86,AB86))</f>
        <v>L1</v>
      </c>
      <c r="AD87" s="1" t="str">
        <f>IF(AD86="","0-0-0",CONCATENATE(AD86,"-",AE86,"-",AF86))</f>
        <v>4-3-2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2</v>
      </c>
      <c r="J8" s="1">
        <f t="shared" si="3"/>
        <v>2</v>
      </c>
      <c r="K8" s="1">
        <f t="shared" si="4"/>
        <v>0</v>
      </c>
      <c r="L8" s="1">
        <f t="shared" si="5"/>
        <v>3</v>
      </c>
      <c r="M8" s="1">
        <f t="shared" si="6"/>
        <v>0</v>
      </c>
      <c r="N8" s="1">
        <f t="shared" si="7"/>
        <v>2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0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3</v>
      </c>
      <c r="AC8" s="1" t="str">
        <f t="shared" si="1"/>
        <v>OTL</v>
      </c>
      <c r="AD8" s="1">
        <f t="shared" si="21"/>
        <v>2</v>
      </c>
      <c r="AE8" s="1">
        <f t="shared" si="22"/>
        <v>2</v>
      </c>
      <c r="AF8" s="1">
        <f t="shared" si="23"/>
        <v>3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3</v>
      </c>
      <c r="J9" s="1">
        <f t="shared" si="3"/>
        <v>2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0</v>
      </c>
      <c r="T9" s="1">
        <f t="shared" si="13"/>
        <v>2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2</v>
      </c>
      <c r="AF9" s="1">
        <f t="shared" si="23"/>
        <v>3</v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2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2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1</v>
      </c>
      <c r="R86" s="1">
        <f t="shared" si="100"/>
        <v>1</v>
      </c>
      <c r="S86" s="1">
        <f t="shared" si="100"/>
        <v>0</v>
      </c>
      <c r="T86" s="1">
        <f t="shared" si="100"/>
        <v>2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2-2-1</v>
      </c>
      <c r="R87" s="1" t="str">
        <f>IF(R86="","0-0-0",CONCATENATE(R86,"-",S86,"-",T86))</f>
        <v>1-0-2</v>
      </c>
      <c r="U87" s="1" t="str">
        <f>IF(U86="","0-0-0",CONCATENATE(U86,"-",V86,"-",W86))</f>
        <v>2-1-0</v>
      </c>
      <c r="X87" s="1" t="str">
        <f>IF(X86="","0-0-0",CONCATENATE(X86,"-",Y86,"-",Z86))</f>
        <v>2-2-1</v>
      </c>
      <c r="AA87" s="1" t="str">
        <f>IF(AA86="","0-0",CONCATENATE(AA86,AB86))</f>
        <v>W1</v>
      </c>
      <c r="AD87" s="1" t="str">
        <f>IF(AD86="","0-0-0",CONCATENATE(AD86,"-",AE86,"-",AF86))</f>
        <v>3-2-3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E7" s="1">
        <v>5</v>
      </c>
      <c r="F7" s="1">
        <v>4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E8" s="1">
        <v>7</v>
      </c>
      <c r="F8" s="1">
        <v>1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E9" s="1">
        <v>2</v>
      </c>
      <c r="F9" s="1">
        <v>4</v>
      </c>
      <c r="G9" s="1" t="s">
        <v>77</v>
      </c>
      <c r="H9" s="1" t="s">
        <v>77</v>
      </c>
      <c r="I9" s="1">
        <f t="shared" si="2"/>
        <v>4</v>
      </c>
      <c r="J9" s="1">
        <f t="shared" si="3"/>
        <v>4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E10" s="1">
        <v>4</v>
      </c>
      <c r="F10" s="1">
        <v>3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4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29</v>
      </c>
      <c r="F87" s="1">
        <f>SUM(F2:F85)</f>
        <v>30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4-2-0</v>
      </c>
      <c r="R87" s="1" t="str">
        <f>IF(R86="","0-0-0",CONCATENATE(R86,"-",S86,"-",T86))</f>
        <v>1-2-0</v>
      </c>
      <c r="U87" s="1" t="str">
        <f>IF(U86="","0-0-0",CONCATENATE(U86,"-",V86,"-",W86))</f>
        <v>2-2-0</v>
      </c>
      <c r="X87" s="1" t="str">
        <f>IF(X86="","0-0-0",CONCATENATE(X86,"-",Y86,"-",Z86))</f>
        <v>3-3-0</v>
      </c>
      <c r="AA87" s="1" t="str">
        <f>IF(AA86="","0-0",CONCATENATE(AA86,AB86))</f>
        <v>W1</v>
      </c>
      <c r="AD87" s="1" t="str">
        <f>IF(AD86="","0-0-0",CONCATENATE(AD86,"-",AE86,"-",AF86))</f>
        <v>5-4-0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E8" s="1">
        <v>1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E10" s="1">
        <v>3</v>
      </c>
      <c r="F10" s="1">
        <v>2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3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20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4-1-0</v>
      </c>
      <c r="R87" s="1" t="str">
        <f>IF(R86="","0-0-0",CONCATENATE(R86,"-",S86,"-",T86))</f>
        <v>1-2-1</v>
      </c>
      <c r="U87" s="1" t="str">
        <f>IF(U86="","0-0-0",CONCATENATE(U86,"-",V86,"-",W86))</f>
        <v>1-1-0</v>
      </c>
      <c r="X87" s="1" t="str">
        <f>IF(X86="","0-0-0",CONCATENATE(X86,"-",Y86,"-",Z86))</f>
        <v>2-3-1</v>
      </c>
      <c r="AA87" s="1" t="str">
        <f>IF(AA86="","0-0",CONCATENATE(AA86,AB86))</f>
        <v>W2</v>
      </c>
      <c r="AD87" s="1" t="str">
        <f>IF(AD86="","0-0-0",CONCATENATE(AD86,"-",AE86,"-",AF86))</f>
        <v>5-3-1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E8" s="1">
        <v>6</v>
      </c>
      <c r="F8" s="1">
        <v>2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E10" s="1">
        <v>1</v>
      </c>
      <c r="F10" s="1">
        <v>7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E11" s="1">
        <v>0</v>
      </c>
      <c r="F11" s="1">
        <v>1</v>
      </c>
      <c r="G11" s="1" t="s">
        <v>78</v>
      </c>
      <c r="H11" s="1" t="s">
        <v>77</v>
      </c>
      <c r="I11" s="1">
        <f t="shared" si="2"/>
        <v>6</v>
      </c>
      <c r="J11" s="1">
        <f t="shared" si="3"/>
        <v>3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E12" s="1">
        <v>5</v>
      </c>
      <c r="F12" s="1">
        <v>2</v>
      </c>
      <c r="G12" s="1" t="s">
        <v>77</v>
      </c>
      <c r="H12" s="1" t="s">
        <v>77</v>
      </c>
      <c r="I12" s="1">
        <f t="shared" si="2"/>
        <v>7</v>
      </c>
      <c r="J12" s="1">
        <f t="shared" si="3"/>
        <v>3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6</v>
      </c>
      <c r="P12" s="1">
        <f t="shared" si="9"/>
        <v>0</v>
      </c>
      <c r="Q12" s="1">
        <f t="shared" si="10"/>
        <v>0</v>
      </c>
      <c r="R12" s="1">
        <f t="shared" si="11"/>
        <v>1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4</v>
      </c>
      <c r="Y12" s="1">
        <f t="shared" si="18"/>
        <v>3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3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6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1</v>
      </c>
      <c r="U86" s="1">
        <f t="shared" si="100"/>
        <v>1</v>
      </c>
      <c r="V86" s="1">
        <f t="shared" si="100"/>
        <v>2</v>
      </c>
      <c r="W86" s="1">
        <f t="shared" si="100"/>
        <v>1</v>
      </c>
      <c r="X86" s="1">
        <f t="shared" si="100"/>
        <v>4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33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6-0-0</v>
      </c>
      <c r="R87" s="1" t="str">
        <f>IF(R86="","0-0-0",CONCATENATE(R86,"-",S86,"-",T86))</f>
        <v>1-3-1</v>
      </c>
      <c r="U87" s="1" t="str">
        <f>IF(U86="","0-0-0",CONCATENATE(U86,"-",V86,"-",W86))</f>
        <v>1-2-1</v>
      </c>
      <c r="X87" s="1" t="str">
        <f>IF(X86="","0-0-0",CONCATENATE(X86,"-",Y86,"-",Z86))</f>
        <v>4-3-1</v>
      </c>
      <c r="AA87" s="1" t="str">
        <f>IF(AA86="","0-0",CONCATENATE(AA86,AB86))</f>
        <v>W1</v>
      </c>
      <c r="AD87" s="1" t="str">
        <f>IF(AD86="","0-0-0",CONCATENATE(AD86,"-",AE86,"-",AF86))</f>
        <v>7-2-1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E8" s="1">
        <v>2</v>
      </c>
      <c r="F8" s="1">
        <v>7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E9" s="1">
        <v>2</v>
      </c>
      <c r="F9" s="1">
        <v>1</v>
      </c>
      <c r="G9" s="1" t="s">
        <v>78</v>
      </c>
      <c r="H9" s="1" t="s">
        <v>78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2</v>
      </c>
      <c r="L10" s="1">
        <f t="shared" si="5"/>
        <v>0</v>
      </c>
      <c r="M10" s="1">
        <f t="shared" si="6"/>
        <v>2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E11" s="1">
        <v>5</v>
      </c>
      <c r="F11" s="1">
        <v>1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2</v>
      </c>
      <c r="L11" s="1">
        <f t="shared" si="5"/>
        <v>0</v>
      </c>
      <c r="M11" s="1">
        <f t="shared" si="6"/>
        <v>2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3</v>
      </c>
      <c r="K86" s="1">
        <f t="shared" si="99"/>
        <v>2</v>
      </c>
      <c r="L86" s="1">
        <f t="shared" si="99"/>
        <v>0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29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4-1-0</v>
      </c>
      <c r="R87" s="1" t="str">
        <f>IF(R86="","0-0-0",CONCATENATE(R86,"-",S86,"-",T86))</f>
        <v>3-2-0</v>
      </c>
      <c r="U87" s="1" t="str">
        <f>IF(U86="","0-0-0",CONCATENATE(U86,"-",V86,"-",W86))</f>
        <v>3-1-0</v>
      </c>
      <c r="X87" s="1" t="str">
        <f>IF(X86="","0-0-0",CONCATENATE(X86,"-",Y86,"-",Z86))</f>
        <v>6-2-0</v>
      </c>
      <c r="AA87" s="1" t="str">
        <f>IF(AA86="","0-0",CONCATENATE(AA86,AB86))</f>
        <v>W1</v>
      </c>
      <c r="AD87" s="1" t="str">
        <f>IF(AD86="","0-0-0",CONCATENATE(AD86,"-",AE86,"-",AF86))</f>
        <v>7-3-0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E8" s="1">
        <v>1</v>
      </c>
      <c r="F8" s="1">
        <v>4</v>
      </c>
      <c r="G8" s="1" t="s">
        <v>77</v>
      </c>
      <c r="H8" s="1" t="s">
        <v>77</v>
      </c>
      <c r="I8" s="1">
        <f t="shared" si="2"/>
        <v>0</v>
      </c>
      <c r="J8" s="1">
        <f t="shared" si="3"/>
        <v>5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3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2</v>
      </c>
      <c r="X8" s="1">
        <f t="shared" si="17"/>
        <v>0</v>
      </c>
      <c r="Y8" s="1">
        <f t="shared" si="18"/>
        <v>5</v>
      </c>
      <c r="Z8" s="1">
        <f t="shared" si="19"/>
        <v>2</v>
      </c>
      <c r="AA8" s="1" t="str">
        <f t="shared" si="0"/>
        <v>L</v>
      </c>
      <c r="AB8" s="1">
        <f t="shared" si="20"/>
        <v>7</v>
      </c>
      <c r="AC8" s="1" t="str">
        <f t="shared" si="1"/>
        <v>L</v>
      </c>
      <c r="AD8" s="1">
        <f t="shared" si="21"/>
        <v>0</v>
      </c>
      <c r="AE8" s="1">
        <f t="shared" si="22"/>
        <v>5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E9" s="1">
        <v>2</v>
      </c>
      <c r="F9" s="1">
        <v>3</v>
      </c>
      <c r="G9" s="1" t="s">
        <v>78</v>
      </c>
      <c r="H9" s="1" t="s">
        <v>78</v>
      </c>
      <c r="I9" s="1">
        <f t="shared" si="2"/>
        <v>0</v>
      </c>
      <c r="J9" s="1">
        <f t="shared" si="3"/>
        <v>5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0</v>
      </c>
      <c r="S9" s="1">
        <f t="shared" si="12"/>
        <v>3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2</v>
      </c>
      <c r="X9" s="1">
        <f t="shared" si="17"/>
        <v>0</v>
      </c>
      <c r="Y9" s="1">
        <f t="shared" si="18"/>
        <v>5</v>
      </c>
      <c r="Z9" s="1">
        <f t="shared" si="19"/>
        <v>2</v>
      </c>
      <c r="AA9" s="1" t="str">
        <f t="shared" si="0"/>
        <v>L</v>
      </c>
      <c r="AB9" s="1">
        <f t="shared" si="20"/>
        <v>8</v>
      </c>
      <c r="AC9" s="1" t="str">
        <f t="shared" si="1"/>
        <v>OTL</v>
      </c>
      <c r="AD9" s="1">
        <f t="shared" si="21"/>
        <v>0</v>
      </c>
      <c r="AE9" s="1">
        <f t="shared" si="22"/>
        <v>5</v>
      </c>
      <c r="AF9" s="1">
        <f t="shared" si="23"/>
        <v>3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0</v>
      </c>
      <c r="J10" s="1">
        <f t="shared" si="3"/>
        <v>6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0</v>
      </c>
      <c r="S10" s="1">
        <f t="shared" si="12"/>
        <v>4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2</v>
      </c>
      <c r="X10" s="1">
        <f t="shared" si="17"/>
        <v>0</v>
      </c>
      <c r="Y10" s="1">
        <f t="shared" si="18"/>
        <v>6</v>
      </c>
      <c r="Z10" s="1">
        <f t="shared" si="19"/>
        <v>2</v>
      </c>
      <c r="AA10" s="1" t="str">
        <f t="shared" si="0"/>
        <v>L</v>
      </c>
      <c r="AB10" s="1">
        <f t="shared" si="20"/>
        <v>9</v>
      </c>
      <c r="AC10" s="1" t="str">
        <f t="shared" si="1"/>
        <v>L</v>
      </c>
      <c r="AD10" s="1">
        <f t="shared" si="21"/>
        <v>0</v>
      </c>
      <c r="AE10" s="1">
        <f t="shared" si="22"/>
        <v>6</v>
      </c>
      <c r="AF10" s="1">
        <f t="shared" si="23"/>
        <v>3</v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E11" s="1">
        <v>3</v>
      </c>
      <c r="F11" s="1">
        <v>1</v>
      </c>
      <c r="G11" s="1" t="s">
        <v>77</v>
      </c>
      <c r="H11" s="1" t="s">
        <v>77</v>
      </c>
      <c r="I11" s="1">
        <f t="shared" si="2"/>
        <v>1</v>
      </c>
      <c r="J11" s="1">
        <f t="shared" si="3"/>
        <v>6</v>
      </c>
      <c r="K11" s="1">
        <f t="shared" si="4"/>
        <v>0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1</v>
      </c>
      <c r="P11" s="1">
        <f t="shared" si="9"/>
        <v>2</v>
      </c>
      <c r="Q11" s="1">
        <f t="shared" si="10"/>
        <v>2</v>
      </c>
      <c r="R11" s="1">
        <f t="shared" si="11"/>
        <v>0</v>
      </c>
      <c r="S11" s="1">
        <f t="shared" si="12"/>
        <v>4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2</v>
      </c>
      <c r="X11" s="1">
        <f t="shared" si="17"/>
        <v>1</v>
      </c>
      <c r="Y11" s="1">
        <f t="shared" si="18"/>
        <v>6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1</v>
      </c>
      <c r="AE11" s="1">
        <f t="shared" si="22"/>
        <v>6</v>
      </c>
      <c r="AF11" s="1">
        <f t="shared" si="23"/>
        <v>3</v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E12" s="1">
        <v>3</v>
      </c>
      <c r="F12" s="1">
        <v>2</v>
      </c>
      <c r="G12" s="1" t="s">
        <v>77</v>
      </c>
      <c r="H12" s="1" t="s">
        <v>77</v>
      </c>
      <c r="I12" s="1">
        <f t="shared" si="2"/>
        <v>2</v>
      </c>
      <c r="J12" s="1">
        <f t="shared" si="3"/>
        <v>6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2</v>
      </c>
      <c r="P12" s="1">
        <f t="shared" si="9"/>
        <v>2</v>
      </c>
      <c r="Q12" s="1">
        <f t="shared" si="10"/>
        <v>2</v>
      </c>
      <c r="R12" s="1">
        <f t="shared" si="11"/>
        <v>0</v>
      </c>
      <c r="S12" s="1">
        <f t="shared" si="12"/>
        <v>4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2</v>
      </c>
      <c r="X12" s="1">
        <f t="shared" si="17"/>
        <v>1</v>
      </c>
      <c r="Y12" s="1">
        <f t="shared" si="18"/>
        <v>6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E13" s="1">
        <v>3</v>
      </c>
      <c r="F13" s="1">
        <v>1</v>
      </c>
      <c r="G13" s="1" t="s">
        <v>77</v>
      </c>
      <c r="H13" s="1" t="s">
        <v>77</v>
      </c>
      <c r="I13" s="1">
        <f t="shared" si="2"/>
        <v>3</v>
      </c>
      <c r="J13" s="1">
        <f t="shared" si="3"/>
        <v>6</v>
      </c>
      <c r="K13" s="1">
        <f t="shared" si="4"/>
        <v>0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2</v>
      </c>
      <c r="P13" s="1">
        <f t="shared" si="9"/>
        <v>2</v>
      </c>
      <c r="Q13" s="1">
        <f t="shared" si="10"/>
        <v>2</v>
      </c>
      <c r="R13" s="1">
        <f t="shared" si="11"/>
        <v>1</v>
      </c>
      <c r="S13" s="1">
        <f t="shared" si="12"/>
        <v>4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2</v>
      </c>
      <c r="X13" s="1">
        <f t="shared" si="17"/>
        <v>2</v>
      </c>
      <c r="Y13" s="1">
        <f t="shared" si="18"/>
        <v>6</v>
      </c>
      <c r="Z13" s="1">
        <f t="shared" si="19"/>
        <v>2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3</v>
      </c>
      <c r="AE13" s="1">
        <f t="shared" si="25"/>
        <v>5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6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2</v>
      </c>
      <c r="R86" s="1">
        <f t="shared" si="100"/>
        <v>1</v>
      </c>
      <c r="S86" s="1">
        <f t="shared" si="100"/>
        <v>4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2</v>
      </c>
      <c r="X86" s="1">
        <f t="shared" si="100"/>
        <v>2</v>
      </c>
      <c r="Y86" s="1">
        <f t="shared" si="100"/>
        <v>6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37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2-2-2</v>
      </c>
      <c r="R87" s="1" t="str">
        <f>IF(R86="","0-0-0",CONCATENATE(R86,"-",S86,"-",T86))</f>
        <v>1-4-1</v>
      </c>
      <c r="U87" s="1" t="str">
        <f>IF(U86="","0-0-0",CONCATENATE(U86,"-",V86,"-",W86))</f>
        <v>0-2-2</v>
      </c>
      <c r="X87" s="1" t="str">
        <f>IF(X86="","0-0-0",CONCATENATE(X86,"-",Y86,"-",Z86))</f>
        <v>2-6-2</v>
      </c>
      <c r="AA87" s="1" t="str">
        <f>IF(AA86="","0-0",CONCATENATE(AA86,AB86))</f>
        <v>W3</v>
      </c>
      <c r="AD87" s="1" t="str">
        <f>IF(AD86="","0-0-0",CONCATENATE(AD86,"-",AE86,"-",AF86))</f>
        <v>3-5-2</v>
      </c>
    </row>
    <row r="88" spans="1:33" x14ac:dyDescent="0.3">
      <c r="C88" s="1">
        <f>SUM(C86:C87)</f>
        <v>84</v>
      </c>
      <c r="D88" s="1">
        <f>COUNTA(E2:E85)</f>
        <v>12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E8" s="1">
        <v>3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5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E11" s="1">
        <v>4</v>
      </c>
      <c r="F11" s="1">
        <v>5</v>
      </c>
      <c r="G11" s="1" t="s">
        <v>77</v>
      </c>
      <c r="H11" s="1" t="s">
        <v>77</v>
      </c>
      <c r="I11" s="1">
        <f t="shared" si="2"/>
        <v>3</v>
      </c>
      <c r="J11" s="1">
        <f t="shared" si="3"/>
        <v>6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L</v>
      </c>
      <c r="AB11" s="1">
        <f t="shared" si="20"/>
        <v>4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6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33</v>
      </c>
      <c r="F87" s="1">
        <f>SUM(F2:F85)</f>
        <v>38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1-5-1</v>
      </c>
      <c r="U87" s="1" t="str">
        <f>IF(U86="","0-0-0",CONCATENATE(U86,"-",V86,"-",W86))</f>
        <v>1-1-1</v>
      </c>
      <c r="X87" s="1" t="str">
        <f>IF(X86="","0-0-0",CONCATENATE(X86,"-",Y86,"-",Z86))</f>
        <v>2-1-1</v>
      </c>
      <c r="AA87" s="1" t="str">
        <f>IF(AA86="","0-0",CONCATENATE(AA86,AB86))</f>
        <v>L4</v>
      </c>
      <c r="AD87" s="1" t="str">
        <f>IF(AD86="","0-0-0",CONCATENATE(AD86,"-",AE86,"-",AF86))</f>
        <v>3-6-1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E7" s="1">
        <v>3</v>
      </c>
      <c r="F7" s="1">
        <v>6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3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4</v>
      </c>
      <c r="J8" s="1">
        <f t="shared" si="3"/>
        <v>3</v>
      </c>
      <c r="K8" s="1">
        <f t="shared" si="4"/>
        <v>4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E9" s="1">
        <v>3</v>
      </c>
      <c r="F9" s="1">
        <v>4</v>
      </c>
      <c r="G9" s="1" t="s">
        <v>78</v>
      </c>
      <c r="H9" s="1" t="s">
        <v>78</v>
      </c>
      <c r="I9" s="1">
        <f t="shared" si="2"/>
        <v>4</v>
      </c>
      <c r="J9" s="1">
        <f t="shared" si="3"/>
        <v>3</v>
      </c>
      <c r="K9" s="1">
        <f t="shared" si="4"/>
        <v>4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E10" s="1">
        <v>1</v>
      </c>
      <c r="F10" s="1">
        <v>3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4</v>
      </c>
      <c r="K10" s="1">
        <f t="shared" si="4"/>
        <v>4</v>
      </c>
      <c r="L10" s="1">
        <f t="shared" si="5"/>
        <v>1</v>
      </c>
      <c r="M10" s="1">
        <f t="shared" si="6"/>
        <v>1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E11" s="1">
        <v>4</v>
      </c>
      <c r="F11" s="1">
        <v>3</v>
      </c>
      <c r="G11" s="1" t="s">
        <v>78</v>
      </c>
      <c r="H11" s="1" t="s">
        <v>77</v>
      </c>
      <c r="I11" s="1">
        <f t="shared" si="2"/>
        <v>5</v>
      </c>
      <c r="J11" s="1">
        <f t="shared" si="3"/>
        <v>4</v>
      </c>
      <c r="K11" s="1">
        <f t="shared" si="4"/>
        <v>5</v>
      </c>
      <c r="L11" s="1">
        <f t="shared" si="5"/>
        <v>1</v>
      </c>
      <c r="M11" s="1">
        <f t="shared" si="6"/>
        <v>1</v>
      </c>
      <c r="N11" s="1">
        <f t="shared" si="7"/>
        <v>1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4</v>
      </c>
      <c r="K86" s="1">
        <f t="shared" si="99"/>
        <v>5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2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3-2-1</v>
      </c>
      <c r="U87" s="1" t="str">
        <f>IF(U86="","0-0-0",CONCATENATE(U86,"-",V86,"-",W86))</f>
        <v>1-1-0</v>
      </c>
      <c r="X87" s="1" t="str">
        <f>IF(X86="","0-0-0",CONCATENATE(X86,"-",Y86,"-",Z86))</f>
        <v>3-2-0</v>
      </c>
      <c r="AA87" s="1" t="str">
        <f>IF(AA86="","0-0",CONCATENATE(AA86,AB86))</f>
        <v>W1</v>
      </c>
      <c r="AD87" s="1" t="str">
        <f>IF(AD86="","0-0-0",CONCATENATE(AD86,"-",AE86,"-",AF86))</f>
        <v>5-4-1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E9" s="1">
        <v>3</v>
      </c>
      <c r="F9" s="1">
        <v>4</v>
      </c>
      <c r="G9" s="1" t="s">
        <v>78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E10" s="1">
        <v>3</v>
      </c>
      <c r="F10" s="1">
        <v>8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E11" s="1">
        <v>4</v>
      </c>
      <c r="F11" s="1">
        <v>3</v>
      </c>
      <c r="G11" s="1" t="s">
        <v>78</v>
      </c>
      <c r="H11" s="1" t="s">
        <v>78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3</v>
      </c>
      <c r="K86" s="1">
        <f t="shared" si="99"/>
        <v>2</v>
      </c>
      <c r="L86" s="1">
        <f t="shared" si="99"/>
        <v>1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39</v>
      </c>
      <c r="F87" s="1">
        <f>SUM(F2:F85)</f>
        <v>34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4-2-1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W1</v>
      </c>
      <c r="AD87" s="1" t="str">
        <f>IF(AD86="","0-0-0",CONCATENATE(AD86,"-",AE86,"-",AF86))</f>
        <v>6-3-1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E7" s="1">
        <v>7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4</v>
      </c>
      <c r="T9" s="1">
        <f t="shared" si="13"/>
        <v>0</v>
      </c>
      <c r="U9" s="1">
        <f t="shared" si="14"/>
        <v>1</v>
      </c>
      <c r="V9" s="1">
        <f t="shared" si="15"/>
        <v>4</v>
      </c>
      <c r="W9" s="1">
        <f t="shared" si="16"/>
        <v>0</v>
      </c>
      <c r="X9" s="1">
        <f t="shared" si="17"/>
        <v>1</v>
      </c>
      <c r="Y9" s="1">
        <f t="shared" si="18"/>
        <v>4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E10" s="1">
        <v>2</v>
      </c>
      <c r="F10" s="1">
        <v>1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4</v>
      </c>
      <c r="W10" s="1">
        <f t="shared" si="16"/>
        <v>0</v>
      </c>
      <c r="X10" s="1">
        <f t="shared" si="17"/>
        <v>2</v>
      </c>
      <c r="Y10" s="1">
        <f t="shared" si="18"/>
        <v>4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4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1</v>
      </c>
      <c r="R86" s="1">
        <f t="shared" si="100"/>
        <v>2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4</v>
      </c>
      <c r="W86" s="1">
        <f t="shared" si="100"/>
        <v>0</v>
      </c>
      <c r="X86" s="1">
        <f t="shared" si="100"/>
        <v>2</v>
      </c>
      <c r="Y86" s="1">
        <f t="shared" si="100"/>
        <v>4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29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2-0-1</v>
      </c>
      <c r="R87" s="1" t="str">
        <f>IF(R86="","0-0-0",CONCATENATE(R86,"-",S86,"-",T86))</f>
        <v>2-4-0</v>
      </c>
      <c r="U87" s="1" t="str">
        <f>IF(U86="","0-0-0",CONCATENATE(U86,"-",V86,"-",W86))</f>
        <v>2-4-0</v>
      </c>
      <c r="X87" s="1" t="str">
        <f>IF(X86="","0-0-0",CONCATENATE(X86,"-",Y86,"-",Z86))</f>
        <v>2-4-1</v>
      </c>
      <c r="AA87" s="1" t="str">
        <f>IF(AA86="","0-0",CONCATENATE(AA86,AB86))</f>
        <v>W1</v>
      </c>
      <c r="AD87" s="1" t="str">
        <f>IF(AD86="","0-0-0",CONCATENATE(AD86,"-",AE86,"-",AF86))</f>
        <v>4-4-1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E8" s="1">
        <v>4</v>
      </c>
      <c r="F8" s="1">
        <v>3</v>
      </c>
      <c r="G8" s="1" t="s">
        <v>78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3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31</v>
      </c>
      <c r="F87" s="1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5-0-0</v>
      </c>
      <c r="R87" s="1" t="str">
        <f>IF(R86="","0-0-0",CONCATENATE(R86,"-",S86,"-",T86))</f>
        <v>2-2-0</v>
      </c>
      <c r="U87" s="1" t="str">
        <f>IF(U86="","0-0-0",CONCATENATE(U86,"-",V86,"-",W86))</f>
        <v>0-0-0</v>
      </c>
      <c r="X87" s="1" t="str">
        <f>IF(X86="","0-0-0",CONCATENATE(X86,"-",Y86,"-",Z86))</f>
        <v>3-2-0</v>
      </c>
      <c r="AA87" s="1" t="str">
        <f>IF(AA86="","0-0",CONCATENATE(AA86,AB86))</f>
        <v>W3</v>
      </c>
      <c r="AD87" s="1" t="str">
        <f>IF(AD86="","0-0-0",CONCATENATE(AD86,"-",AE86,"-",AF86))</f>
        <v>7-2-0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E8" s="1">
        <v>4</v>
      </c>
      <c r="F8" s="20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E9" s="1">
        <v>4</v>
      </c>
      <c r="F9" s="20">
        <v>5</v>
      </c>
      <c r="G9" s="1" t="s">
        <v>78</v>
      </c>
      <c r="H9" s="1" t="s">
        <v>77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E10" s="1">
        <v>1</v>
      </c>
      <c r="F10" s="20">
        <v>4</v>
      </c>
      <c r="G10" s="1" t="s">
        <v>77</v>
      </c>
      <c r="H10" s="1" t="s">
        <v>77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E11" s="1">
        <v>3</v>
      </c>
      <c r="F11" s="20">
        <v>1</v>
      </c>
      <c r="G11" s="1" t="s">
        <v>77</v>
      </c>
      <c r="H11" s="1" t="s">
        <v>77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1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E12" s="1">
        <v>6</v>
      </c>
      <c r="F12" s="20">
        <v>2</v>
      </c>
      <c r="G12" s="1" t="s">
        <v>77</v>
      </c>
      <c r="H12" s="1" t="s">
        <v>77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2</v>
      </c>
      <c r="S12" s="1">
        <f t="shared" si="12"/>
        <v>1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4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3</v>
      </c>
      <c r="Q86" s="1">
        <f t="shared" si="100"/>
        <v>1</v>
      </c>
      <c r="R86" s="1">
        <f t="shared" si="100"/>
        <v>2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1</v>
      </c>
      <c r="X86" s="1">
        <f t="shared" si="100"/>
        <v>2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38</v>
      </c>
      <c r="F87" s="20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3-3-1</v>
      </c>
      <c r="R87" s="1" t="str">
        <f>IF(R86="","0-0-0",CONCATENATE(R86,"-",S86,"-",T86))</f>
        <v>2-1-1</v>
      </c>
      <c r="U87" s="1" t="str">
        <f>IF(U86="","0-0-0",CONCATENATE(U86,"-",V86,"-",W86))</f>
        <v>0-2-1</v>
      </c>
      <c r="X87" s="1" t="str">
        <f>IF(X86="","0-0-0",CONCATENATE(X86,"-",Y86,"-",Z86))</f>
        <v>2-3-1</v>
      </c>
      <c r="AA87" s="1" t="str">
        <f>IF(AA86="","0-0",CONCATENATE(AA86,AB86))</f>
        <v>W2</v>
      </c>
      <c r="AD87" s="1" t="str">
        <f>IF(AD86="","0-0-0",CONCATENATE(AD86,"-",AE86,"-",AF86))</f>
        <v>5-3-2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1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3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E10" s="1">
        <v>2</v>
      </c>
      <c r="F10" s="1">
        <v>6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E11" s="1">
        <v>5</v>
      </c>
      <c r="F11" s="1">
        <v>4</v>
      </c>
      <c r="G11" s="1" t="s">
        <v>77</v>
      </c>
      <c r="H11" s="1" t="s">
        <v>77</v>
      </c>
      <c r="I11" s="1">
        <f t="shared" si="2"/>
        <v>7</v>
      </c>
      <c r="J11" s="1">
        <f t="shared" si="3"/>
        <v>3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38</v>
      </c>
      <c r="F87" s="1">
        <f>SUM(F2:F85)</f>
        <v>31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4-2-0</v>
      </c>
      <c r="U87" s="1" t="str">
        <f>IF(U86="","0-0-0",CONCATENATE(U86,"-",V86,"-",W86))</f>
        <v>1-0-0</v>
      </c>
      <c r="X87" s="1" t="str">
        <f>IF(X86="","0-0-0",CONCATENATE(X86,"-",Y86,"-",Z86))</f>
        <v>2-1-0</v>
      </c>
      <c r="AA87" s="1" t="str">
        <f>IF(AA86="","0-0",CONCATENATE(AA86,AB86))</f>
        <v>W1</v>
      </c>
      <c r="AD87" s="1" t="str">
        <f>IF(AD86="","0-0-0",CONCATENATE(AD86,"-",AE86,"-",AF86))</f>
        <v>7-3-0</v>
      </c>
    </row>
    <row r="88" spans="1:33" x14ac:dyDescent="0.3">
      <c r="C88" s="1">
        <f>SUM(C86:C87)</f>
        <v>84</v>
      </c>
      <c r="D88" s="1">
        <f>COUNTA(E2:E85)</f>
        <v>10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E10" s="1">
        <v>2</v>
      </c>
      <c r="F10" s="1">
        <v>3</v>
      </c>
      <c r="G10" s="1" t="s">
        <v>78</v>
      </c>
      <c r="H10" s="1" t="s">
        <v>77</v>
      </c>
      <c r="I10" s="1">
        <f t="shared" si="2"/>
        <v>2</v>
      </c>
      <c r="J10" s="1">
        <f t="shared" si="3"/>
        <v>6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OTL</v>
      </c>
      <c r="AD10" s="1">
        <f t="shared" si="21"/>
        <v>2</v>
      </c>
      <c r="AE10" s="1">
        <f t="shared" si="22"/>
        <v>6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E11" s="1">
        <v>2</v>
      </c>
      <c r="F11" s="1">
        <v>4</v>
      </c>
      <c r="G11" s="1" t="s">
        <v>77</v>
      </c>
      <c r="H11" s="1" t="s">
        <v>77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5</v>
      </c>
      <c r="T11" s="1">
        <f t="shared" si="13"/>
        <v>1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7</v>
      </c>
      <c r="AC11" s="1" t="str">
        <f t="shared" si="1"/>
        <v>L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E12" s="1">
        <v>3</v>
      </c>
      <c r="F12" s="1">
        <v>6</v>
      </c>
      <c r="G12" s="1" t="s">
        <v>77</v>
      </c>
      <c r="H12" s="1" t="s">
        <v>77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5</v>
      </c>
      <c r="T12" s="1">
        <f t="shared" si="13"/>
        <v>1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8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8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5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8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8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33</v>
      </c>
      <c r="F87" s="1">
        <f>SUM(F2:F85)</f>
        <v>51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1-5-1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L8</v>
      </c>
      <c r="AD87" s="1" t="str">
        <f>IF(AD86="","0-0-0",CONCATENATE(AD86,"-",AE86,"-",AF86))</f>
        <v>1-8-1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E11" s="1">
        <v>6</v>
      </c>
      <c r="F11" s="1">
        <v>2</v>
      </c>
      <c r="G11" s="1" t="s">
        <v>77</v>
      </c>
      <c r="H11" s="1" t="s">
        <v>77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6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E12" s="1">
        <v>2</v>
      </c>
      <c r="F12" s="1">
        <v>6</v>
      </c>
      <c r="G12" s="1" t="s">
        <v>77</v>
      </c>
      <c r="H12" s="1" t="s">
        <v>77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6</v>
      </c>
      <c r="Y12" s="1">
        <f t="shared" si="18"/>
        <v>2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8</v>
      </c>
      <c r="J86" s="1">
        <f t="shared" si="99"/>
        <v>3</v>
      </c>
      <c r="K86" s="1">
        <f t="shared" si="99"/>
        <v>2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2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0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44</v>
      </c>
      <c r="F87" s="1">
        <f>SUM(F2:F85)</f>
        <v>30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5-2-0</v>
      </c>
      <c r="R87" s="1" t="str">
        <f>IF(R86="","0-0-0",CONCATENATE(R86,"-",S86,"-",T86))</f>
        <v>3-1-0</v>
      </c>
      <c r="U87" s="1" t="str">
        <f>IF(U86="","0-0-0",CONCATENATE(U86,"-",V86,"-",W86))</f>
        <v>4-1-0</v>
      </c>
      <c r="X87" s="1" t="str">
        <f>IF(X86="","0-0-0",CONCATENATE(X86,"-",Y86,"-",Z86))</f>
        <v>6-2-0</v>
      </c>
      <c r="AA87" s="1" t="str">
        <f>IF(AA86="","0-0",CONCATENATE(AA86,AB86))</f>
        <v>L1</v>
      </c>
      <c r="AD87" s="1" t="str">
        <f>IF(AD86="","0-0-0",CONCATENATE(AD86,"-",AE86,"-",AF86))</f>
        <v>7-3-0</v>
      </c>
    </row>
    <row r="88" spans="1:33" x14ac:dyDescent="0.3">
      <c r="C88" s="1">
        <f>SUM(C86:C87)</f>
        <v>84</v>
      </c>
      <c r="D88" s="1">
        <f>COUNTA(E2:E85)</f>
        <v>11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3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E10" s="1">
        <v>2</v>
      </c>
      <c r="F10" s="1">
        <v>5</v>
      </c>
      <c r="G10" s="1" t="s">
        <v>77</v>
      </c>
      <c r="H10" s="1" t="s">
        <v>77</v>
      </c>
      <c r="I10" s="1">
        <f t="shared" si="2"/>
        <v>5</v>
      </c>
      <c r="J10" s="1">
        <f t="shared" si="3"/>
        <v>4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5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4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5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30</v>
      </c>
      <c r="F87" s="1">
        <f>SUM(F2:F85)</f>
        <v>29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4-2-0</v>
      </c>
      <c r="R87" s="1" t="str">
        <f>IF(R86="","0-0-0",CONCATENATE(R86,"-",S86,"-",T86))</f>
        <v>1-2-0</v>
      </c>
      <c r="U87" s="1" t="str">
        <f>IF(U86="","0-0-0",CONCATENATE(U86,"-",V86,"-",W86))</f>
        <v>4-1-0</v>
      </c>
      <c r="X87" s="1" t="str">
        <f>IF(X86="","0-0-0",CONCATENATE(X86,"-",Y86,"-",Z86))</f>
        <v>5-2-0</v>
      </c>
      <c r="AA87" s="1" t="str">
        <f>IF(AA86="","0-0",CONCATENATE(AA86,AB86))</f>
        <v>L1</v>
      </c>
      <c r="AD87" s="1" t="str">
        <f>IF(AD86="","0-0-0",CONCATENATE(AD86,"-",AE86,"-",AF86))</f>
        <v>5-4-0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E8" s="1">
        <v>3</v>
      </c>
      <c r="F8" s="1">
        <v>4</v>
      </c>
      <c r="G8" s="1" t="s">
        <v>78</v>
      </c>
      <c r="H8" s="1" t="s">
        <v>77</v>
      </c>
      <c r="I8" s="1">
        <f t="shared" si="2"/>
        <v>4</v>
      </c>
      <c r="J8" s="1">
        <f t="shared" si="3"/>
        <v>1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1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0</v>
      </c>
      <c r="T9" s="1">
        <f t="shared" si="13"/>
        <v>1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4</v>
      </c>
      <c r="J10" s="1">
        <f t="shared" si="3"/>
        <v>3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4</v>
      </c>
      <c r="J86" s="1">
        <f t="shared" si="96"/>
        <v>3</v>
      </c>
      <c r="K86" s="1">
        <f t="shared" si="96"/>
        <v>0</v>
      </c>
      <c r="L86" s="1">
        <f t="shared" si="96"/>
        <v>2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2</v>
      </c>
      <c r="P86" s="1">
        <f t="shared" si="97"/>
        <v>2</v>
      </c>
      <c r="Q86" s="1">
        <f t="shared" si="97"/>
        <v>1</v>
      </c>
      <c r="R86" s="1">
        <f t="shared" si="97"/>
        <v>2</v>
      </c>
      <c r="S86" s="1">
        <f t="shared" si="97"/>
        <v>1</v>
      </c>
      <c r="T86" s="1">
        <f t="shared" si="97"/>
        <v>1</v>
      </c>
      <c r="U86" s="1">
        <f t="shared" si="97"/>
        <v>1</v>
      </c>
      <c r="V86" s="1">
        <f t="shared" si="97"/>
        <v>1</v>
      </c>
      <c r="W86" s="1">
        <f t="shared" si="97"/>
        <v>1</v>
      </c>
      <c r="X86" s="1">
        <f t="shared" si="97"/>
        <v>2</v>
      </c>
      <c r="Y86" s="1">
        <f t="shared" si="97"/>
        <v>2</v>
      </c>
      <c r="Z86" s="1">
        <f t="shared" si="97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24</v>
      </c>
      <c r="F87" s="1">
        <f>SUM(F2:F85)</f>
        <v>26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2-2-1</v>
      </c>
      <c r="R87" s="1" t="str">
        <f>IF(R86="","0-0-0",CONCATENATE(R86,"-",S86,"-",T86))</f>
        <v>2-1-1</v>
      </c>
      <c r="U87" s="1" t="str">
        <f>IF(U86="","0-0-0",CONCATENATE(U86,"-",V86,"-",W86))</f>
        <v>1-1-1</v>
      </c>
      <c r="X87" s="1" t="str">
        <f>IF(X86="","0-0-0",CONCATENATE(X86,"-",Y86,"-",Z86))</f>
        <v>2-2-1</v>
      </c>
      <c r="AA87" s="1" t="str">
        <f>IF(AA86="","0-0",CONCATENATE(AA86,AB86))</f>
        <v>L3</v>
      </c>
      <c r="AD87" s="1" t="str">
        <f>IF(AD86="","0-0-0",CONCATENATE(AD86,"-",AE86,"-",AF86))</f>
        <v>4-3-2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59</vt:i4>
      </vt:variant>
    </vt:vector>
  </HeadingPairs>
  <TitlesOfParts>
    <vt:vector size="59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 (10-12-26)</vt:lpstr>
      <vt:lpstr>Standings (10-13-26)</vt:lpstr>
      <vt:lpstr>Standings (10-14-26)</vt:lpstr>
      <vt:lpstr>Standings (10-15-26)</vt:lpstr>
      <vt:lpstr>Standings (10-16-26)</vt:lpstr>
      <vt:lpstr>Standings (10-17-26)</vt:lpstr>
      <vt:lpstr>Standings (10-18-26)</vt:lpstr>
      <vt:lpstr>Standings (10-19-26)</vt:lpstr>
      <vt:lpstr>Standings (10-20-26)</vt:lpstr>
      <vt:lpstr>Standings (10-21-26)</vt:lpstr>
      <vt:lpstr>Standings (10-22-26)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2026-10-25T00:47:09Z</dcterms:modified>
</cp:coreProperties>
</file>