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3F0E761-85DC-45CB-B000-AF289DFB5134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" sheetId="4" r:id="rId18"/>
    <sheet name="Anaheim_Ducks" sheetId="5" r:id="rId19"/>
    <sheet name="Boston_Bruins" sheetId="7" r:id="rId20"/>
    <sheet name="Buffalo_Sabres" sheetId="8" r:id="rId21"/>
    <sheet name="Calgary_Flames" sheetId="9" r:id="rId22"/>
    <sheet name="Carolina_Hurricanes" sheetId="10" r:id="rId23"/>
    <sheet name="Chicago_Blackhawks" sheetId="11" r:id="rId24"/>
    <sheet name="Colorado_Avalanche" sheetId="12" r:id="rId25"/>
    <sheet name="Columbus_Blue_Jackets" sheetId="13" r:id="rId26"/>
    <sheet name="Dallas_Stars" sheetId="14" r:id="rId27"/>
    <sheet name="Detroit_Red_Wings" sheetId="15" r:id="rId28"/>
    <sheet name="Edmonton_Oilers" sheetId="16" r:id="rId29"/>
    <sheet name="Florida_Panthers" sheetId="17" r:id="rId30"/>
    <sheet name="Los_Angeles_Kings" sheetId="18" r:id="rId31"/>
    <sheet name="Minnesota_Wild" sheetId="19" r:id="rId32"/>
    <sheet name="Montreal_Canadiens" sheetId="20" r:id="rId33"/>
    <sheet name="Nashville_Predators" sheetId="21" r:id="rId34"/>
    <sheet name="New_Jersey_Devils" sheetId="22" r:id="rId35"/>
    <sheet name="New_York_Islanders" sheetId="23" r:id="rId36"/>
    <sheet name="New_York_Rangers" sheetId="24" r:id="rId37"/>
    <sheet name="Ottawa_Senators" sheetId="25" r:id="rId38"/>
    <sheet name="Philadelphia_Flyers" sheetId="26" r:id="rId39"/>
    <sheet name="Pittsburgh_Penguins" sheetId="27" r:id="rId40"/>
    <sheet name="San_Jose_Sharks" sheetId="28" r:id="rId41"/>
    <sheet name="Seattle_Kraken" sheetId="29" r:id="rId42"/>
    <sheet name="St_Louis_Blues" sheetId="30" r:id="rId43"/>
    <sheet name="Tampa_Bay_Lightning" sheetId="31" r:id="rId44"/>
    <sheet name="Toronto_Maple_Leafs" sheetId="32" r:id="rId45"/>
    <sheet name="Utah_Mammoth" sheetId="6" r:id="rId46"/>
    <sheet name="Vancouver_Canucks" sheetId="33" r:id="rId47"/>
    <sheet name="Vegas_Golden_Knights" sheetId="34" r:id="rId48"/>
    <sheet name="Washington_Capitals" sheetId="35" r:id="rId49"/>
    <sheet name="Winnipeg_Jets" sheetId="36" r:id="rId5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20" l="1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<sst xmlns="http://schemas.openxmlformats.org/spreadsheetml/2006/main" count="13854" uniqueCount="158">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</sst>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9" sqref="B19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52">
        <v>6</v>
      </c>
      <c r="C5" s="52">
        <v>4</v>
      </c>
      <c r="D5" s="52">
        <v>2</v>
      </c>
      <c r="E5" s="53">
        <v>0</v>
      </c>
      <c r="F5" s="30">
        <v>8</v>
      </c>
      <c r="G5" s="31">
        <v>3</v>
      </c>
      <c r="H5" s="53">
        <v>4</v>
      </c>
      <c r="I5" s="53">
        <v>0</v>
      </c>
      <c r="J5" s="30">
        <v>0</v>
      </c>
      <c r="K5" s="29" t="s">
        <v>114</v>
      </c>
      <c r="L5" s="52" t="s">
        <v>98</v>
      </c>
      <c r="M5" s="52" t="s">
        <v>95</v>
      </c>
      <c r="N5" s="52" t="s">
        <v>105</v>
      </c>
      <c r="O5" s="31">
        <v>20</v>
      </c>
      <c r="P5" s="53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53">
        <v>1</v>
      </c>
      <c r="F7" s="30">
        <v>7</v>
      </c>
      <c r="G7" s="31">
        <v>2</v>
      </c>
      <c r="H7" s="53">
        <v>3</v>
      </c>
      <c r="I7" s="53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52">
        <v>5</v>
      </c>
      <c r="C17" s="52">
        <v>3</v>
      </c>
      <c r="D17" s="52">
        <v>2</v>
      </c>
      <c r="E17" s="53">
        <v>0</v>
      </c>
      <c r="F17" s="30">
        <v>6</v>
      </c>
      <c r="G17" s="53">
        <v>3</v>
      </c>
      <c r="H17" s="53">
        <v>3</v>
      </c>
      <c r="I17" s="53">
        <v>0</v>
      </c>
      <c r="J17" s="53">
        <v>0</v>
      </c>
      <c r="K17" s="29" t="s">
        <v>105</v>
      </c>
      <c r="L17" s="52" t="s">
        <v>98</v>
      </c>
      <c r="M17" s="52" t="s">
        <v>120</v>
      </c>
      <c r="N17" s="52" t="s">
        <v>114</v>
      </c>
      <c r="O17" s="31">
        <v>17</v>
      </c>
      <c r="P17" s="53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7</v>
      </c>
      <c r="C35" s="52">
        <v>5</v>
      </c>
      <c r="D35" s="52">
        <v>2</v>
      </c>
      <c r="E35" s="53">
        <v>0</v>
      </c>
      <c r="F35" s="33">
        <v>10</v>
      </c>
      <c r="G35" s="53">
        <v>3</v>
      </c>
      <c r="H35" s="53">
        <v>4</v>
      </c>
      <c r="I35" s="53">
        <v>1</v>
      </c>
      <c r="J35" s="53">
        <v>0</v>
      </c>
      <c r="K35" s="29" t="s">
        <v>114</v>
      </c>
      <c r="L35" s="52" t="s">
        <v>105</v>
      </c>
      <c r="M35" s="52" t="s">
        <v>114</v>
      </c>
      <c r="N35" s="52" t="s">
        <v>135</v>
      </c>
      <c r="O35" s="31">
        <v>25</v>
      </c>
      <c r="P35" s="53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52">
        <v>6</v>
      </c>
      <c r="C5" s="52">
        <v>4</v>
      </c>
      <c r="D5" s="52">
        <v>2</v>
      </c>
      <c r="E5" s="53">
        <v>0</v>
      </c>
      <c r="F5" s="30">
        <v>8</v>
      </c>
      <c r="G5" s="31">
        <v>3</v>
      </c>
      <c r="H5" s="53">
        <v>4</v>
      </c>
      <c r="I5" s="53">
        <v>0</v>
      </c>
      <c r="J5" s="30">
        <v>0</v>
      </c>
      <c r="K5" s="29" t="s">
        <v>114</v>
      </c>
      <c r="L5" s="52" t="s">
        <v>98</v>
      </c>
      <c r="M5" s="52" t="s">
        <v>95</v>
      </c>
      <c r="N5" s="52" t="s">
        <v>105</v>
      </c>
      <c r="O5" s="31">
        <v>20</v>
      </c>
      <c r="P5" s="53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53">
        <v>1</v>
      </c>
      <c r="F7" s="30">
        <v>7</v>
      </c>
      <c r="G7" s="31">
        <v>2</v>
      </c>
      <c r="H7" s="53">
        <v>3</v>
      </c>
      <c r="I7" s="53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52">
        <v>5</v>
      </c>
      <c r="C17" s="52">
        <v>3</v>
      </c>
      <c r="D17" s="52">
        <v>2</v>
      </c>
      <c r="E17" s="53">
        <v>0</v>
      </c>
      <c r="F17" s="30">
        <v>6</v>
      </c>
      <c r="G17" s="53">
        <v>3</v>
      </c>
      <c r="H17" s="53">
        <v>3</v>
      </c>
      <c r="I17" s="53">
        <v>0</v>
      </c>
      <c r="J17" s="53">
        <v>0</v>
      </c>
      <c r="K17" s="29" t="s">
        <v>105</v>
      </c>
      <c r="L17" s="52" t="s">
        <v>98</v>
      </c>
      <c r="M17" s="52" t="s">
        <v>120</v>
      </c>
      <c r="N17" s="52" t="s">
        <v>114</v>
      </c>
      <c r="O17" s="31">
        <v>17</v>
      </c>
      <c r="P17" s="53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7</v>
      </c>
      <c r="C35" s="52">
        <v>5</v>
      </c>
      <c r="D35" s="52">
        <v>2</v>
      </c>
      <c r="E35" s="53">
        <v>0</v>
      </c>
      <c r="F35" s="33">
        <v>10</v>
      </c>
      <c r="G35" s="53">
        <v>3</v>
      </c>
      <c r="H35" s="53">
        <v>4</v>
      </c>
      <c r="I35" s="53">
        <v>1</v>
      </c>
      <c r="J35" s="53">
        <v>0</v>
      </c>
      <c r="K35" s="29" t="s">
        <v>114</v>
      </c>
      <c r="L35" s="52" t="s">
        <v>105</v>
      </c>
      <c r="M35" s="52" t="s">
        <v>114</v>
      </c>
      <c r="N35" s="52" t="s">
        <v>135</v>
      </c>
      <c r="O35" s="31">
        <v>25</v>
      </c>
      <c r="P35" s="53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6</v>
      </c>
      <c r="C4" s="40">
        <f>Boston_Bruins!$I$86</f>
        <v>4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8</v>
      </c>
      <c r="G4" s="39">
        <f>C4-Boston_Bruins!$K$86</f>
        <v>3</v>
      </c>
      <c r="H4" s="38">
        <f t="shared" ref="H4:H11" si="1">C4-I4</f>
        <v>4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1-1-0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20</v>
      </c>
      <c r="P4" s="38">
        <f>Boston_Bruins!$F$87</f>
        <v>13</v>
      </c>
      <c r="Q4" s="33">
        <f t="shared" ref="Q4:Q11" si="2">O4-P4</f>
        <v>7</v>
      </c>
      <c r="R4" s="37" t="str">
        <f>Boston_Bruins!$AA$87</f>
        <v>W2</v>
      </c>
      <c r="S4" s="36" t="str">
        <f>Boston_Bruins!$AD$87</f>
        <v>4-2-0</v>
      </c>
    </row>
    <row r="5" spans="1:20" x14ac:dyDescent="0.3">
      <c r="A5" s="32" t="s">
        <v>28</v>
      </c>
      <c r="B5" s="1">
        <f>Buffalo_Sabres!$D$88</f>
        <v>6</v>
      </c>
      <c r="C5" s="1">
        <f>Buffalo_Sabres!$I$86</f>
        <v>3</v>
      </c>
      <c r="D5" s="1">
        <f>Buffalo_Sabres!$J$86</f>
        <v>3</v>
      </c>
      <c r="E5" s="20">
        <f>Buffalo_Sabres!$L$86</f>
        <v>0</v>
      </c>
      <c r="F5" s="30">
        <f t="shared" si="0"/>
        <v>6</v>
      </c>
      <c r="G5" s="31">
        <f>C5-Buffalo_Sabres!$K$86</f>
        <v>2</v>
      </c>
      <c r="H5" s="20">
        <f t="shared" si="1"/>
        <v>3</v>
      </c>
      <c r="I5" s="20">
        <f>Buffalo_Sabres!$M$86</f>
        <v>0</v>
      </c>
      <c r="J5" s="30">
        <f>Buffalo_Sabres!$N$86</f>
        <v>0</v>
      </c>
      <c r="K5" s="29" t="str">
        <f>Buffalo_Sabres!$O$87</f>
        <v>3-2-0</v>
      </c>
      <c r="L5" s="1" t="str">
        <f>Buffalo_Sabres!$R$87</f>
        <v>0-1-0</v>
      </c>
      <c r="M5" s="1" t="str">
        <f>Buffalo_Sabres!$U$87</f>
        <v>1-0-0</v>
      </c>
      <c r="N5" s="1" t="str">
        <f>Buffalo_Sabres!$X$87</f>
        <v>1-1-0</v>
      </c>
      <c r="O5" s="31">
        <f>Buffalo_Sabres!$E$87</f>
        <v>16</v>
      </c>
      <c r="P5" s="20">
        <f>Buffalo_Sabres!$F$87</f>
        <v>22</v>
      </c>
      <c r="Q5" s="30">
        <f t="shared" si="2"/>
        <v>-6</v>
      </c>
      <c r="R5" s="29" t="str">
        <f>Buffalo_Sabres!$AA$87</f>
        <v>W1</v>
      </c>
      <c r="S5" s="28" t="str">
        <f>Buffalo_Sabres!$AD$87</f>
        <v>3-3-0</v>
      </c>
    </row>
    <row r="6" spans="1:20" x14ac:dyDescent="0.3">
      <c r="A6" s="32" t="s">
        <v>21</v>
      </c>
      <c r="B6" s="1">
        <f>Detroit_Red_Wings!$D$88</f>
        <v>5</v>
      </c>
      <c r="C6" s="1">
        <f>Detroit_Red_Wings!$I$86</f>
        <v>1</v>
      </c>
      <c r="D6" s="1">
        <f>Detroit_Red_Wings!$J$86</f>
        <v>3</v>
      </c>
      <c r="E6" s="20">
        <f>Detroit_Red_Wings!$L$86</f>
        <v>1</v>
      </c>
      <c r="F6" s="30">
        <f t="shared" si="0"/>
        <v>3</v>
      </c>
      <c r="G6" s="31">
        <f>C6-Detroit_Red_Wings!$K$86</f>
        <v>1</v>
      </c>
      <c r="H6" s="20">
        <f t="shared" si="1"/>
        <v>1</v>
      </c>
      <c r="I6" s="20">
        <f>Detroit_Red_Wings!$M$86</f>
        <v>0</v>
      </c>
      <c r="J6" s="30">
        <f>Detroit_Red_Wings!$N$86</f>
        <v>1</v>
      </c>
      <c r="K6" s="29" t="str">
        <f>Detroit_Red_Wings!$O$87</f>
        <v>1-3-0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1-1-1</v>
      </c>
      <c r="O6" s="31">
        <f>Detroit_Red_Wings!$E$87</f>
        <v>10</v>
      </c>
      <c r="P6" s="20">
        <f>Detroit_Red_Wings!$F$87</f>
        <v>15</v>
      </c>
      <c r="Q6" s="30">
        <f t="shared" si="2"/>
        <v>-5</v>
      </c>
      <c r="R6" s="29" t="str">
        <f>Detroit_Red_Wings!$AA$87</f>
        <v>L2</v>
      </c>
      <c r="S6" s="28" t="str">
        <f>Detroit_Red_Wings!$AD$87</f>
        <v>1-3-1</v>
      </c>
    </row>
    <row r="7" spans="1:20" x14ac:dyDescent="0.3">
      <c r="A7" s="32" t="s">
        <v>19</v>
      </c>
      <c r="B7" s="1">
        <f>Florida_Panthers!$D$88</f>
        <v>6</v>
      </c>
      <c r="C7" s="1">
        <f>Florida_Panthers!$I$86</f>
        <v>2</v>
      </c>
      <c r="D7" s="1">
        <f>Florida_Panthers!$J$86</f>
        <v>2</v>
      </c>
      <c r="E7" s="20">
        <f>Florida_Panthers!$L$86</f>
        <v>2</v>
      </c>
      <c r="F7" s="30">
        <f t="shared" si="0"/>
        <v>6</v>
      </c>
      <c r="G7" s="31">
        <f>C7-Florida_Panthers!$K$86</f>
        <v>1</v>
      </c>
      <c r="H7" s="20">
        <f t="shared" si="1"/>
        <v>2</v>
      </c>
      <c r="I7" s="20">
        <f>Florida_Panthers!$M$86</f>
        <v>0</v>
      </c>
      <c r="J7" s="30">
        <f>Florida_Panthers!$N$86</f>
        <v>0</v>
      </c>
      <c r="K7" s="29" t="str">
        <f>Florida_Panthers!$O$87</f>
        <v>0-1-0</v>
      </c>
      <c r="L7" s="1" t="str">
        <f>Florida_Panthers!$R$87</f>
        <v>2-1-2</v>
      </c>
      <c r="M7" s="1" t="str">
        <f>Florida_Panthers!$U$87</f>
        <v>0-1-0</v>
      </c>
      <c r="N7" s="1" t="str">
        <f>Florida_Panthers!$X$87</f>
        <v>1-1-0</v>
      </c>
      <c r="O7" s="31">
        <f>Florida_Panthers!$E$87</f>
        <v>12</v>
      </c>
      <c r="P7" s="20">
        <f>Florida_Panthers!$F$87</f>
        <v>17</v>
      </c>
      <c r="Q7" s="30">
        <f t="shared" si="2"/>
        <v>-5</v>
      </c>
      <c r="R7" s="29" t="str">
        <f>Florida_Panthers!$AA$87</f>
        <v>L2</v>
      </c>
      <c r="S7" s="28" t="str">
        <f>Florida_Panthers!$AD$87</f>
        <v>2-2-2</v>
      </c>
    </row>
    <row r="8" spans="1:20" x14ac:dyDescent="0.3">
      <c r="A8" s="32" t="s">
        <v>16</v>
      </c>
      <c r="B8" s="1">
        <f>Montreal_Canadiens!$D$88</f>
        <v>5</v>
      </c>
      <c r="C8" s="1">
        <f>Montreal_Canadiens!$I$86</f>
        <v>2</v>
      </c>
      <c r="D8" s="1">
        <f>Montreal_Canadiens!$J$86</f>
        <v>2</v>
      </c>
      <c r="E8" s="20">
        <f>Montreal_Canadiens!$L$86</f>
        <v>1</v>
      </c>
      <c r="F8" s="30">
        <f t="shared" si="0"/>
        <v>5</v>
      </c>
      <c r="G8" s="31">
        <f>C8-Montreal_Canadiens!$K$86</f>
        <v>1</v>
      </c>
      <c r="H8" s="20">
        <f t="shared" si="1"/>
        <v>1</v>
      </c>
      <c r="I8" s="20">
        <f>Montreal_Canadiens!$M$86</f>
        <v>1</v>
      </c>
      <c r="J8" s="30">
        <f>Montreal_Canadiens!$N$86</f>
        <v>0</v>
      </c>
      <c r="K8" s="29" t="str">
        <f>Montreal_Canadiens!$O$87</f>
        <v>1-2-0</v>
      </c>
      <c r="L8" s="1" t="str">
        <f>Montreal_Canadiens!$R$87</f>
        <v>1-0-1</v>
      </c>
      <c r="M8" s="1" t="str">
        <f>Montreal_Canadiens!$U$87</f>
        <v>2-0-0</v>
      </c>
      <c r="N8" s="1" t="str">
        <f>Montreal_Canadiens!$X$87</f>
        <v>2-1-1</v>
      </c>
      <c r="O8" s="31">
        <f>Montreal_Canadiens!$E$87</f>
        <v>15</v>
      </c>
      <c r="P8" s="20">
        <f>Montreal_Canadiens!$F$87</f>
        <v>19</v>
      </c>
      <c r="Q8" s="30">
        <f t="shared" si="2"/>
        <v>-4</v>
      </c>
      <c r="R8" s="29" t="str">
        <f>Montreal_Canadiens!$AA$87</f>
        <v>W1</v>
      </c>
      <c r="S8" s="28" t="str">
        <f>Montreal_Canadiens!$AD$87</f>
        <v>2-2-1</v>
      </c>
    </row>
    <row r="9" spans="1:20" x14ac:dyDescent="0.3">
      <c r="A9" s="32" t="s">
        <v>11</v>
      </c>
      <c r="B9" s="1">
        <f>Ottawa_Senators!$D$88</f>
        <v>6</v>
      </c>
      <c r="C9" s="1">
        <f>Ottawa_Senators!$I$86</f>
        <v>5</v>
      </c>
      <c r="D9" s="1">
        <f>Ottawa_Senators!$J$86</f>
        <v>1</v>
      </c>
      <c r="E9" s="20">
        <f>Ottawa_Senators!$L$86</f>
        <v>0</v>
      </c>
      <c r="F9" s="30">
        <f t="shared" si="0"/>
        <v>10</v>
      </c>
      <c r="G9" s="31">
        <f>C9-Ottawa_Senators!$K$86</f>
        <v>4</v>
      </c>
      <c r="H9" s="20">
        <f t="shared" si="1"/>
        <v>4</v>
      </c>
      <c r="I9" s="20">
        <f>Ottawa_Senators!$M$86</f>
        <v>1</v>
      </c>
      <c r="J9" s="30">
        <f>Ottawa_Senators!$N$86</f>
        <v>0</v>
      </c>
      <c r="K9" s="29" t="str">
        <f>Ottawa_Senators!$O$87</f>
        <v>2-0-0</v>
      </c>
      <c r="L9" s="1" t="str">
        <f>Ottawa_Senators!$R$87</f>
        <v>3-1-0</v>
      </c>
      <c r="M9" s="1" t="str">
        <f>Ottawa_Senators!$U$87</f>
        <v>2-1-0</v>
      </c>
      <c r="N9" s="1" t="str">
        <f>Ottawa_Senators!$X$87</f>
        <v>4-1-0</v>
      </c>
      <c r="O9" s="31">
        <f>Ottawa_Senators!$E$87</f>
        <v>19</v>
      </c>
      <c r="P9" s="20">
        <f>Ottawa_Senators!$F$87</f>
        <v>12</v>
      </c>
      <c r="Q9" s="30">
        <f t="shared" si="2"/>
        <v>7</v>
      </c>
      <c r="R9" s="29" t="str">
        <f>Ottawa_Senators!$AA$87</f>
        <v>W3</v>
      </c>
      <c r="S9" s="28" t="str">
        <f>Ottawa_Senators!$AD$87</f>
        <v>5-1-0</v>
      </c>
    </row>
    <row r="10" spans="1:20" x14ac:dyDescent="0.3">
      <c r="A10" s="32" t="s">
        <v>5</v>
      </c>
      <c r="B10" s="1">
        <f>Tampa_Bay_Lightning!$D$88</f>
        <v>5</v>
      </c>
      <c r="C10" s="1">
        <f>Tampa_Bay_Lightning!$I$86</f>
        <v>4</v>
      </c>
      <c r="D10" s="1">
        <f>Tampa_Bay_Lightning!$J$86</f>
        <v>1</v>
      </c>
      <c r="E10" s="20">
        <f>Tampa_Bay_Lightning!$L$86</f>
        <v>0</v>
      </c>
      <c r="F10" s="30">
        <f t="shared" si="0"/>
        <v>8</v>
      </c>
      <c r="G10" s="31">
        <f>C10-Tampa_Bay_Lightning!$K$86</f>
        <v>4</v>
      </c>
      <c r="H10" s="20">
        <f t="shared" si="1"/>
        <v>4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3-0-0</v>
      </c>
      <c r="L10" s="1" t="str">
        <f>Tampa_Bay_Lightning!$R$87</f>
        <v>1-1-0</v>
      </c>
      <c r="M10" s="1" t="str">
        <f>Tampa_Bay_Lightning!$U$87</f>
        <v>0-0-0</v>
      </c>
      <c r="N10" s="1" t="str">
        <f>Tampa_Bay_Lightning!$X$87</f>
        <v>3-1-0</v>
      </c>
      <c r="O10" s="31">
        <f>Tampa_Bay_Lightning!$E$87</f>
        <v>16</v>
      </c>
      <c r="P10" s="20">
        <f>Tampa_Bay_Lightning!$F$87</f>
        <v>12</v>
      </c>
      <c r="Q10" s="30">
        <f t="shared" si="2"/>
        <v>4</v>
      </c>
      <c r="R10" s="29" t="str">
        <f>Tampa_Bay_Lightning!$AA$87</f>
        <v>W4</v>
      </c>
      <c r="S10" s="28" t="str">
        <f>Tampa_Bay_Lightning!$AD$87</f>
        <v>4-1-0</v>
      </c>
    </row>
    <row r="11" spans="1:20" ht="15" thickBot="1" x14ac:dyDescent="0.35">
      <c r="A11" s="32" t="s">
        <v>4</v>
      </c>
      <c r="B11" s="1">
        <f>Toronto_Maple_Leafs!$D$88</f>
        <v>6</v>
      </c>
      <c r="C11" s="1">
        <f>Toronto_Maple_Leafs!$I$86</f>
        <v>3</v>
      </c>
      <c r="D11" s="1">
        <f>Toronto_Maple_Leafs!$J$86</f>
        <v>2</v>
      </c>
      <c r="E11" s="24">
        <f>Toronto_Maple_Leafs!$L$86</f>
        <v>1</v>
      </c>
      <c r="F11" s="23">
        <f t="shared" si="0"/>
        <v>7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2-2-0</v>
      </c>
      <c r="L11" s="1" t="str">
        <f>Toronto_Maple_Leafs!$R$87</f>
        <v>1-0-1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20</v>
      </c>
      <c r="P11" s="20">
        <f>Toronto_Maple_Leafs!$F$87</f>
        <v>18</v>
      </c>
      <c r="Q11" s="30">
        <f t="shared" si="2"/>
        <v>2</v>
      </c>
      <c r="R11" s="29" t="str">
        <f>Toronto_Maple_Leafs!$AA$87</f>
        <v>W1</v>
      </c>
      <c r="S11" s="28" t="str">
        <f>Toronto_Maple_Leafs!$AD$87</f>
        <v>3-2-1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7</v>
      </c>
      <c r="C14" s="1">
        <f>Carolina_Hurricanes!$I$86</f>
        <v>5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11</v>
      </c>
      <c r="G14" s="20">
        <f>C14-Carolina_Hurricanes!$K$86</f>
        <v>4</v>
      </c>
      <c r="H14" s="20">
        <f t="shared" ref="H14:H21" si="4">C14-I14</f>
        <v>5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1-1-1</v>
      </c>
      <c r="L14" s="1" t="str">
        <f>Carolina_Hurricanes!$R$87</f>
        <v>4-0-0</v>
      </c>
      <c r="M14" s="1" t="str">
        <f>Carolina_Hurricanes!$U$87</f>
        <v>2-1-0</v>
      </c>
      <c r="N14" s="1" t="str">
        <f>Carolina_Hurricanes!$X$87</f>
        <v>3-1-1</v>
      </c>
      <c r="O14" s="31">
        <f>Carolina_Hurricanes!$E$87</f>
        <v>27</v>
      </c>
      <c r="P14" s="20">
        <f>Carolina_Hurricanes!$F$87</f>
        <v>17</v>
      </c>
      <c r="Q14" s="30">
        <f t="shared" ref="Q14:Q21" si="5">O14-P14</f>
        <v>10</v>
      </c>
      <c r="R14" s="29" t="str">
        <f>Carolina_Hurricanes!$AA$87</f>
        <v>W5</v>
      </c>
      <c r="S14" s="28" t="str">
        <f>Carolina_Hurricanes!$AD$87</f>
        <v>5-1-1</v>
      </c>
    </row>
    <row r="15" spans="1:20" x14ac:dyDescent="0.3">
      <c r="A15" s="32" t="s">
        <v>23</v>
      </c>
      <c r="B15" s="1">
        <f>Columbus_Blue_Jackets!$D$88</f>
        <v>4</v>
      </c>
      <c r="C15" s="1">
        <f>Columbus_Blue_Jackets!$I$86</f>
        <v>2</v>
      </c>
      <c r="D15" s="1">
        <f>Columbus_Blue_Jackets!$J$86</f>
        <v>2</v>
      </c>
      <c r="E15" s="20">
        <f>Columbus_Blue_Jackets!$L$86</f>
        <v>0</v>
      </c>
      <c r="F15" s="30">
        <f t="shared" si="3"/>
        <v>4</v>
      </c>
      <c r="G15" s="20">
        <f>C15-Columbus_Blue_Jackets!$K$86</f>
        <v>1</v>
      </c>
      <c r="H15" s="20">
        <f t="shared" si="4"/>
        <v>1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2-1-0</v>
      </c>
      <c r="L15" s="1" t="str">
        <f>Columbus_Blue_Jackets!$R$87</f>
        <v>0-1-0</v>
      </c>
      <c r="M15" s="1" t="str">
        <f>Columbus_Blue_Jackets!$U$87</f>
        <v>1-0-0</v>
      </c>
      <c r="N15" s="1" t="str">
        <f>Columbus_Blue_Jackets!$X$87</f>
        <v>2-0-0</v>
      </c>
      <c r="O15" s="31">
        <f>Columbus_Blue_Jackets!$E$87</f>
        <v>13</v>
      </c>
      <c r="P15" s="20">
        <f>Columbus_Blue_Jackets!$F$87</f>
        <v>14</v>
      </c>
      <c r="Q15" s="30">
        <f t="shared" si="5"/>
        <v>-1</v>
      </c>
      <c r="R15" s="29" t="str">
        <f>Columbus_Blue_Jackets!$AA$87</f>
        <v>L1</v>
      </c>
      <c r="S15" s="28" t="str">
        <f>Columbus_Blue_Jackets!$AD$87</f>
        <v>2-2-0</v>
      </c>
    </row>
    <row r="16" spans="1:20" x14ac:dyDescent="0.3">
      <c r="A16" s="32" t="s">
        <v>14</v>
      </c>
      <c r="B16" s="1">
        <f>New_Jersey_Devils!$D$88</f>
        <v>5</v>
      </c>
      <c r="C16" s="1">
        <f>New_Jersey_Devils!$I$86</f>
        <v>2</v>
      </c>
      <c r="D16" s="1">
        <f>New_Jersey_Devils!$J$86</f>
        <v>3</v>
      </c>
      <c r="E16" s="20">
        <f>New_Jersey_Devils!$L$86</f>
        <v>0</v>
      </c>
      <c r="F16" s="30">
        <f t="shared" si="3"/>
        <v>4</v>
      </c>
      <c r="G16" s="20">
        <f>C16-New_Jersey_Devils!$K$86</f>
        <v>1</v>
      </c>
      <c r="H16" s="20">
        <f t="shared" si="4"/>
        <v>2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2-2-0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1-2-0</v>
      </c>
      <c r="O16" s="31">
        <f>New_Jersey_Devils!$E$87</f>
        <v>11</v>
      </c>
      <c r="P16" s="20">
        <f>New_Jersey_Devils!$F$87</f>
        <v>18</v>
      </c>
      <c r="Q16" s="30">
        <f t="shared" si="5"/>
        <v>-7</v>
      </c>
      <c r="R16" s="29" t="str">
        <f>New_Jersey_Devils!$AA$87</f>
        <v>L1</v>
      </c>
      <c r="S16" s="28" t="str">
        <f>New_Jersey_Devils!$AD$87</f>
        <v>2-3-0</v>
      </c>
    </row>
    <row r="17" spans="1:19" x14ac:dyDescent="0.3">
      <c r="A17" s="32" t="s">
        <v>13</v>
      </c>
      <c r="B17" s="1">
        <f>New_York_Islanders!$D$88</f>
        <v>5</v>
      </c>
      <c r="C17" s="1">
        <f>New_York_Islanders!$I$86</f>
        <v>2</v>
      </c>
      <c r="D17" s="1">
        <f>New_York_Islanders!$J$86</f>
        <v>3</v>
      </c>
      <c r="E17" s="20">
        <f>New_York_Islanders!$L$86</f>
        <v>0</v>
      </c>
      <c r="F17" s="30">
        <f t="shared" si="3"/>
        <v>4</v>
      </c>
      <c r="G17" s="20">
        <f>C17-New_York_Islanders!$K$86</f>
        <v>2</v>
      </c>
      <c r="H17" s="20">
        <f t="shared" si="4"/>
        <v>2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2-1-0</v>
      </c>
      <c r="L17" s="1" t="str">
        <f>New_York_Islanders!$R$87</f>
        <v>0-2-0</v>
      </c>
      <c r="M17" s="1" t="str">
        <f>New_York_Islanders!$U$87</f>
        <v>1-1-0</v>
      </c>
      <c r="N17" s="1" t="str">
        <f>New_York_Islanders!$X$87</f>
        <v>1-3-0</v>
      </c>
      <c r="O17" s="31">
        <f>New_York_Islanders!$E$87</f>
        <v>16</v>
      </c>
      <c r="P17" s="20">
        <f>New_York_Islanders!$F$87</f>
        <v>13</v>
      </c>
      <c r="Q17" s="30">
        <f t="shared" si="5"/>
        <v>3</v>
      </c>
      <c r="R17" s="29" t="str">
        <f>New_York_Islanders!$AA$87</f>
        <v>L1</v>
      </c>
      <c r="S17" s="28" t="str">
        <f>New_York_Islanders!$AD$87</f>
        <v>2-3-0</v>
      </c>
    </row>
    <row r="18" spans="1:19" x14ac:dyDescent="0.3">
      <c r="A18" s="32" t="s">
        <v>12</v>
      </c>
      <c r="B18" s="1">
        <f>New_York_Rangers!$D$88</f>
        <v>7</v>
      </c>
      <c r="C18" s="1">
        <f>New_York_Rangers!$I$86</f>
        <v>5</v>
      </c>
      <c r="D18" s="1">
        <f>New_York_Rangers!$J$86</f>
        <v>2</v>
      </c>
      <c r="E18" s="20">
        <f>New_York_Rangers!$L$86</f>
        <v>0</v>
      </c>
      <c r="F18" s="30">
        <f t="shared" si="3"/>
        <v>10</v>
      </c>
      <c r="G18" s="20">
        <f>C18-New_York_Rangers!$K$86</f>
        <v>5</v>
      </c>
      <c r="H18" s="20">
        <f t="shared" si="4"/>
        <v>5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4-0-0</v>
      </c>
      <c r="L18" s="1" t="str">
        <f>New_York_Rangers!$R$87</f>
        <v>1-2-0</v>
      </c>
      <c r="M18" s="1" t="str">
        <f>New_York_Rangers!$U$87</f>
        <v>1-1-0</v>
      </c>
      <c r="N18" s="1" t="str">
        <f>New_York_Rangers!$X$87</f>
        <v>3-2-0</v>
      </c>
      <c r="O18" s="31">
        <f>New_York_Rangers!$E$87</f>
        <v>23</v>
      </c>
      <c r="P18" s="20">
        <f>New_York_Rangers!$F$87</f>
        <v>13</v>
      </c>
      <c r="Q18" s="30">
        <f t="shared" si="5"/>
        <v>10</v>
      </c>
      <c r="R18" s="29" t="str">
        <f>New_York_Rangers!$AA$87</f>
        <v>W1</v>
      </c>
      <c r="S18" s="28" t="str">
        <f>New_York_Rangers!$AD$87</f>
        <v>5-2-0</v>
      </c>
    </row>
    <row r="19" spans="1:19" x14ac:dyDescent="0.3">
      <c r="A19" s="32" t="s">
        <v>10</v>
      </c>
      <c r="B19" s="1">
        <f>Philadelphia_Flyers!$D$88</f>
        <v>7</v>
      </c>
      <c r="C19" s="1">
        <f>Philadelphia_Flyers!$I$86</f>
        <v>0</v>
      </c>
      <c r="D19" s="1">
        <f>Philadelphia_Flyers!$J$86</f>
        <v>5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0-2-1</v>
      </c>
      <c r="L19" s="1" t="str">
        <f>Philadelphia_Flyers!$R$87</f>
        <v>0-3-1</v>
      </c>
      <c r="M19" s="1" t="str">
        <f>Philadelphia_Flyers!$U$87</f>
        <v>0-2-2</v>
      </c>
      <c r="N19" s="1" t="str">
        <f>Philadelphia_Flyers!$X$87</f>
        <v>0-5-2</v>
      </c>
      <c r="O19" s="31">
        <f>Philadelphia_Flyers!$E$87</f>
        <v>8</v>
      </c>
      <c r="P19" s="20">
        <f>Philadelphia_Flyers!$F$87</f>
        <v>28</v>
      </c>
      <c r="Q19" s="30">
        <f t="shared" si="5"/>
        <v>-20</v>
      </c>
      <c r="R19" s="29" t="str">
        <f>Philadelphia_Flyers!$AA$87</f>
        <v>L7</v>
      </c>
      <c r="S19" s="28" t="str">
        <f>Philadelphia_Flyers!$AD$87</f>
        <v>0-5-2</v>
      </c>
    </row>
    <row r="20" spans="1:19" x14ac:dyDescent="0.3">
      <c r="A20" s="32" t="s">
        <v>9</v>
      </c>
      <c r="B20" s="1">
        <f>Pittsburgh_Penguins!$D$88</f>
        <v>6</v>
      </c>
      <c r="C20" s="1">
        <f>Pittsburgh_Penguins!$I$86</f>
        <v>3</v>
      </c>
      <c r="D20" s="1">
        <f>Pittsburgh_Penguins!$J$86</f>
        <v>2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1-1-1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22</v>
      </c>
      <c r="P20" s="20">
        <f>Pittsburgh_Penguins!$F$87</f>
        <v>17</v>
      </c>
      <c r="Q20" s="30">
        <f t="shared" si="5"/>
        <v>5</v>
      </c>
      <c r="R20" s="29" t="str">
        <f>Pittsburgh_Penguins!$AA$87</f>
        <v>W1</v>
      </c>
      <c r="S20" s="28" t="str">
        <f>Pittsburgh_Penguins!$AD$87</f>
        <v>3-2-1</v>
      </c>
    </row>
    <row r="21" spans="1:19" ht="15" thickBot="1" x14ac:dyDescent="0.35">
      <c r="A21" s="27" t="s">
        <v>1</v>
      </c>
      <c r="B21" s="26">
        <f>Washington_Capitals!$D$88</f>
        <v>5</v>
      </c>
      <c r="C21" s="26">
        <f>Washington_Capitals!$I$86</f>
        <v>3</v>
      </c>
      <c r="D21" s="26">
        <f>Washington_Capitals!$J$86</f>
        <v>2</v>
      </c>
      <c r="E21" s="24">
        <f>Washington_Capitals!$L$86</f>
        <v>0</v>
      </c>
      <c r="F21" s="23">
        <f t="shared" si="3"/>
        <v>6</v>
      </c>
      <c r="G21" s="24">
        <f>C21-Washington_Capitals!$K$86</f>
        <v>3</v>
      </c>
      <c r="H21" s="24">
        <f t="shared" si="4"/>
        <v>3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2-1-0</v>
      </c>
      <c r="L21" s="26" t="str">
        <f>Washington_Capitals!$R$87</f>
        <v>1-1-0</v>
      </c>
      <c r="M21" s="26" t="str">
        <f>Washington_Capitals!$U$87</f>
        <v>3-0-0</v>
      </c>
      <c r="N21" s="26" t="str">
        <f>Washington_Capitals!$X$87</f>
        <v>3-1-0</v>
      </c>
      <c r="O21" s="25">
        <f>Washington_Capitals!$E$87</f>
        <v>17</v>
      </c>
      <c r="P21" s="24">
        <f>Washington_Capitals!$F$87</f>
        <v>14</v>
      </c>
      <c r="Q21" s="23">
        <f t="shared" si="5"/>
        <v>3</v>
      </c>
      <c r="R21" s="22" t="str">
        <f>Washington_Capitals!$AA$87</f>
        <v>L1</v>
      </c>
      <c r="S21" s="21" t="str">
        <f>Washington_Capitals!$AD$87</f>
        <v>3-2-0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6</v>
      </c>
      <c r="C25" s="1">
        <f>Chicago_Blackhawks!$I$86</f>
        <v>1</v>
      </c>
      <c r="D25" s="1">
        <f>Chicago_Blackhawks!$J$86</f>
        <v>5</v>
      </c>
      <c r="E25" s="20">
        <f>Chicago_Blackhawks!$L$86</f>
        <v>0</v>
      </c>
      <c r="F25" s="30">
        <f t="shared" ref="F25:F31" si="6">(C25*2)+E25</f>
        <v>2</v>
      </c>
      <c r="G25" s="20">
        <f>C25-Chicago_Blackhawks!$K$86</f>
        <v>1</v>
      </c>
      <c r="H25" s="20">
        <f t="shared" ref="H25:H31" si="7">C25-I25</f>
        <v>1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1-1-0</v>
      </c>
      <c r="L25" s="1" t="str">
        <f>Chicago_Blackhawks!$R$87</f>
        <v>0-4-0</v>
      </c>
      <c r="M25" s="1" t="str">
        <f>Chicago_Blackhawks!$U$87</f>
        <v>1-1-0</v>
      </c>
      <c r="N25" s="1" t="str">
        <f>Chicago_Blackhawks!$X$87</f>
        <v>1-2-0</v>
      </c>
      <c r="O25" s="31">
        <f>Chicago_Blackhawks!$E$87</f>
        <v>12</v>
      </c>
      <c r="P25" s="20">
        <f>Chicago_Blackhawks!$F$87</f>
        <v>26</v>
      </c>
      <c r="Q25" s="30">
        <f t="shared" ref="Q25:Q31" si="8">O25-P25</f>
        <v>-14</v>
      </c>
      <c r="R25" s="29" t="str">
        <f>Chicago_Blackhawks!$AA$87</f>
        <v>L2</v>
      </c>
      <c r="S25" s="28" t="str">
        <f>Chicago_Blackhawks!$AD$87</f>
        <v>1-5-0</v>
      </c>
    </row>
    <row r="26" spans="1:19" x14ac:dyDescent="0.3">
      <c r="A26" s="32" t="s">
        <v>24</v>
      </c>
      <c r="B26" s="1">
        <f>Colorado_Avalanche!$D$88</f>
        <v>5</v>
      </c>
      <c r="C26" s="1">
        <f>Colorado_Avalanche!$I$86</f>
        <v>3</v>
      </c>
      <c r="D26" s="1">
        <f>Colorado_Avalanche!$J$86</f>
        <v>2</v>
      </c>
      <c r="E26" s="20">
        <f>Colorado_Avalanche!$L$86</f>
        <v>0</v>
      </c>
      <c r="F26" s="30">
        <f t="shared" si="6"/>
        <v>6</v>
      </c>
      <c r="G26" s="20">
        <f>C26-Colorado_Avalanche!$K$86</f>
        <v>3</v>
      </c>
      <c r="H26" s="20">
        <f t="shared" si="7"/>
        <v>3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2-1-0</v>
      </c>
      <c r="L26" s="1" t="str">
        <f>Colorado_Avalanche!$R$87</f>
        <v>1-1-0</v>
      </c>
      <c r="M26" s="1" t="str">
        <f>Colorado_Avalanche!$U$87</f>
        <v>1-1-0</v>
      </c>
      <c r="N26" s="1" t="str">
        <f>Colorado_Avalanche!$X$87</f>
        <v>3-1-0</v>
      </c>
      <c r="O26" s="31">
        <f>Colorado_Avalanche!$E$87</f>
        <v>26</v>
      </c>
      <c r="P26" s="20">
        <f>Colorado_Avalanche!$F$87</f>
        <v>17</v>
      </c>
      <c r="Q26" s="30">
        <f t="shared" si="8"/>
        <v>9</v>
      </c>
      <c r="R26" s="29" t="str">
        <f>Colorado_Avalanche!$AA$87</f>
        <v>L1</v>
      </c>
      <c r="S26" s="28" t="str">
        <f>Colorado_Avalanche!$AD$87</f>
        <v>3-2-0</v>
      </c>
    </row>
    <row r="27" spans="1:19" x14ac:dyDescent="0.3">
      <c r="A27" s="32" t="s">
        <v>22</v>
      </c>
      <c r="B27" s="1">
        <f>Dallas_Stars!$D$88</f>
        <v>5</v>
      </c>
      <c r="C27" s="1">
        <f>Dallas_Stars!$I$86</f>
        <v>2</v>
      </c>
      <c r="D27" s="1">
        <f>Dallas_Stars!$J$86</f>
        <v>2</v>
      </c>
      <c r="E27" s="20">
        <f>Dallas_Stars!$L$86</f>
        <v>1</v>
      </c>
      <c r="F27" s="30">
        <f t="shared" si="6"/>
        <v>5</v>
      </c>
      <c r="G27" s="20">
        <f>C27-Dallas_Stars!$K$86</f>
        <v>2</v>
      </c>
      <c r="H27" s="20">
        <f t="shared" si="7"/>
        <v>2</v>
      </c>
      <c r="I27" s="20">
        <f>Dallas_Stars!$M$86</f>
        <v>0</v>
      </c>
      <c r="J27" s="20">
        <f>Dallas_Stars!$N$86</f>
        <v>1</v>
      </c>
      <c r="K27" s="29" t="str">
        <f>Dallas_Stars!$O$87</f>
        <v>1-1-0</v>
      </c>
      <c r="L27" s="1" t="str">
        <f>Dallas_Stars!$R$87</f>
        <v>1-1-1</v>
      </c>
      <c r="M27" s="1" t="str">
        <f>Dallas_Stars!$U$87</f>
        <v>0-2-0</v>
      </c>
      <c r="N27" s="1" t="str">
        <f>Dallas_Stars!$X$87</f>
        <v>1-2-0</v>
      </c>
      <c r="O27" s="31">
        <f>Dallas_Stars!$E$87</f>
        <v>11</v>
      </c>
      <c r="P27" s="20">
        <f>Dallas_Stars!$F$87</f>
        <v>8</v>
      </c>
      <c r="Q27" s="30">
        <f t="shared" si="8"/>
        <v>3</v>
      </c>
      <c r="R27" s="29" t="str">
        <f>Dallas_Stars!$AA$87</f>
        <v>L1</v>
      </c>
      <c r="S27" s="28" t="str">
        <f>Dallas_Stars!$AD$87</f>
        <v>2-2-1</v>
      </c>
    </row>
    <row r="28" spans="1:19" x14ac:dyDescent="0.3">
      <c r="A28" s="32" t="s">
        <v>17</v>
      </c>
      <c r="B28" s="1">
        <f>Minnesota_Wild!$D$88</f>
        <v>6</v>
      </c>
      <c r="C28" s="1">
        <f>Minnesota_Wild!$I$86</f>
        <v>4</v>
      </c>
      <c r="D28" s="1">
        <f>Minnesota_Wild!$J$86</f>
        <v>1</v>
      </c>
      <c r="E28" s="20">
        <f>Minnesota_Wild!$L$86</f>
        <v>1</v>
      </c>
      <c r="F28" s="30">
        <f t="shared" si="6"/>
        <v>9</v>
      </c>
      <c r="G28" s="20">
        <f>C28-Minnesota_Wild!$K$86</f>
        <v>4</v>
      </c>
      <c r="H28" s="20">
        <f t="shared" si="7"/>
        <v>4</v>
      </c>
      <c r="I28" s="20">
        <f>Minnesota_Wild!$M$86</f>
        <v>0</v>
      </c>
      <c r="J28" s="20">
        <f>Minnesota_Wild!$N$86</f>
        <v>0</v>
      </c>
      <c r="K28" s="29" t="str">
        <f>Minnesota_Wild!$O$87</f>
        <v>2-0-0</v>
      </c>
      <c r="L28" s="1" t="str">
        <f>Minnesota_Wild!$R$87</f>
        <v>2-1-1</v>
      </c>
      <c r="M28" s="1" t="str">
        <f>Minnesota_Wild!$U$87</f>
        <v>1-0-0</v>
      </c>
      <c r="N28" s="1" t="str">
        <f>Minnesota_Wild!$X$87</f>
        <v>2-0-0</v>
      </c>
      <c r="O28" s="31">
        <f>Minnesota_Wild!$E$87</f>
        <v>19</v>
      </c>
      <c r="P28" s="20">
        <f>Minnesota_Wild!$F$87</f>
        <v>11</v>
      </c>
      <c r="Q28" s="30">
        <f t="shared" si="8"/>
        <v>8</v>
      </c>
      <c r="R28" s="29" t="str">
        <f>Minnesota_Wild!$AA$87</f>
        <v>W2</v>
      </c>
      <c r="S28" s="28" t="str">
        <f>Minnesota_Wild!$AD$87</f>
        <v>4-1-1</v>
      </c>
    </row>
    <row r="29" spans="1:19" x14ac:dyDescent="0.3">
      <c r="A29" s="32" t="s">
        <v>15</v>
      </c>
      <c r="B29" s="1">
        <f>Nashville_Predators!$D$88</f>
        <v>5</v>
      </c>
      <c r="C29" s="1">
        <f>Nashville_Predators!$I$86</f>
        <v>2</v>
      </c>
      <c r="D29" s="1">
        <f>Nashville_Predators!$J$86</f>
        <v>1</v>
      </c>
      <c r="E29" s="20">
        <f>Nashville_Predators!$L$86</f>
        <v>2</v>
      </c>
      <c r="F29" s="30">
        <f t="shared" si="6"/>
        <v>6</v>
      </c>
      <c r="G29" s="20">
        <f>C29-Nashville_Predators!$K$86</f>
        <v>2</v>
      </c>
      <c r="H29" s="20">
        <f t="shared" si="7"/>
        <v>2</v>
      </c>
      <c r="I29" s="20">
        <f>Nashville_Predators!$M$86</f>
        <v>0</v>
      </c>
      <c r="J29" s="20">
        <f>Nashville_Predators!$N$86</f>
        <v>1</v>
      </c>
      <c r="K29" s="29" t="str">
        <f>Nashville_Predators!$O$87</f>
        <v>1-1-0</v>
      </c>
      <c r="L29" s="1" t="str">
        <f>Nashville_Predators!$R$87</f>
        <v>1-0-2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14</v>
      </c>
      <c r="P29" s="20">
        <f>Nashville_Predators!$F$87</f>
        <v>14</v>
      </c>
      <c r="Q29" s="30">
        <f t="shared" si="8"/>
        <v>0</v>
      </c>
      <c r="R29" s="29" t="str">
        <f>Nashville_Predators!$AA$87</f>
        <v>L1</v>
      </c>
      <c r="S29" s="28" t="str">
        <f>Nashville_Predators!$AD$87</f>
        <v>2-1-2</v>
      </c>
    </row>
    <row r="30" spans="1:19" x14ac:dyDescent="0.3">
      <c r="A30" s="32" t="s">
        <v>6</v>
      </c>
      <c r="B30" s="1">
        <f>St_Louis_Blues!$D$88</f>
        <v>5</v>
      </c>
      <c r="C30" s="1">
        <f>St_Louis_Blues!$I$86</f>
        <v>2</v>
      </c>
      <c r="D30" s="1">
        <f>St_Louis_Blues!$J$86</f>
        <v>2</v>
      </c>
      <c r="E30" s="20">
        <f>St_Louis_Blues!$L$86</f>
        <v>1</v>
      </c>
      <c r="F30" s="30">
        <f t="shared" si="6"/>
        <v>5</v>
      </c>
      <c r="G30" s="20">
        <f>C30-St_Louis_Blues!$K$86</f>
        <v>2</v>
      </c>
      <c r="H30" s="20">
        <f t="shared" si="7"/>
        <v>2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1-2-0</v>
      </c>
      <c r="M30" s="1" t="str">
        <f>St_Louis_Blues!$U$87</f>
        <v>1-2-0</v>
      </c>
      <c r="N30" s="1" t="str">
        <f>St_Louis_Blues!$X$87</f>
        <v>1-2-1</v>
      </c>
      <c r="O30" s="31">
        <f>St_Louis_Blues!$E$87</f>
        <v>14</v>
      </c>
      <c r="P30" s="20">
        <f>St_Louis_Blues!$F$87</f>
        <v>16</v>
      </c>
      <c r="Q30" s="30">
        <f t="shared" si="8"/>
        <v>-2</v>
      </c>
      <c r="R30" s="29" t="str">
        <f>St_Louis_Blues!$AA$87</f>
        <v>W1</v>
      </c>
      <c r="S30" s="28" t="str">
        <f>St_Louis_Blues!$AD$87</f>
        <v>2-2-1</v>
      </c>
    </row>
    <row r="31" spans="1:19" x14ac:dyDescent="0.3">
      <c r="A31" s="32" t="s">
        <v>89</v>
      </c>
      <c r="B31" s="1">
        <f>Utah_Mammoth!$D$88</f>
        <v>6</v>
      </c>
      <c r="C31" s="1">
        <f>Utah_Mammoth!$I$86</f>
        <v>4</v>
      </c>
      <c r="D31" s="1">
        <f>Utah_Mammoth!$J$86</f>
        <v>2</v>
      </c>
      <c r="E31" s="20">
        <f>Utah_Mammoth!$L$86</f>
        <v>0</v>
      </c>
      <c r="F31" s="30">
        <f t="shared" si="6"/>
        <v>8</v>
      </c>
      <c r="G31" s="20">
        <f>C31-Utah_Mammoth!$K$86</f>
        <v>4</v>
      </c>
      <c r="H31" s="20">
        <f t="shared" si="7"/>
        <v>4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3-2-0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22</v>
      </c>
      <c r="P31" s="20">
        <f>Utah_Mammoth!$F$87</f>
        <v>15</v>
      </c>
      <c r="Q31" s="30">
        <f t="shared" si="8"/>
        <v>7</v>
      </c>
      <c r="R31" s="29" t="str">
        <f>Utah_Mammoth!$AA$87</f>
        <v>W1</v>
      </c>
      <c r="S31" s="28" t="str">
        <f>Utah_Mammoth!$AD$87</f>
        <v>4-2-0</v>
      </c>
    </row>
    <row r="32" spans="1:19" ht="15" thickBot="1" x14ac:dyDescent="0.35">
      <c r="A32" s="32" t="s">
        <v>0</v>
      </c>
      <c r="B32" s="1">
        <f>Winnipeg_Jets!$D$88</f>
        <v>5</v>
      </c>
      <c r="C32" s="1">
        <f>Winnipeg_Jets!$I$86</f>
        <v>3</v>
      </c>
      <c r="D32" s="1">
        <f>Winnipeg_Jets!$J$86</f>
        <v>1</v>
      </c>
      <c r="E32" s="20">
        <f>Winnipeg_Jets!$L$86</f>
        <v>1</v>
      </c>
      <c r="F32" s="23">
        <f t="shared" ref="F32" si="9">(C32*2)+E32</f>
        <v>7</v>
      </c>
      <c r="G32" s="20">
        <f>C32-Winnipeg_Jets!$K$86</f>
        <v>3</v>
      </c>
      <c r="H32" s="20">
        <f t="shared" ref="H32" si="10">C32-I32</f>
        <v>3</v>
      </c>
      <c r="I32" s="20">
        <f>Winnipeg_Jets!$M$86</f>
        <v>0</v>
      </c>
      <c r="J32" s="20">
        <f>Winnipeg_Jets!$N$86</f>
        <v>0</v>
      </c>
      <c r="K32" s="29" t="str">
        <f>Winnipeg_Jets!$O$87</f>
        <v>1-1-1</v>
      </c>
      <c r="L32" s="1" t="str">
        <f>Winnipeg_Jets!$R$87</f>
        <v>2-0-0</v>
      </c>
      <c r="M32" s="1" t="str">
        <f>Winnipeg_Jets!$U$87</f>
        <v>1-0-0</v>
      </c>
      <c r="N32" s="1" t="str">
        <f>Winnipeg_Jets!$X$87</f>
        <v>1-1-0</v>
      </c>
      <c r="O32" s="31">
        <f>Winnipeg_Jets!$E$87</f>
        <v>13</v>
      </c>
      <c r="P32" s="20">
        <f>Winnipeg_Jets!$F$87</f>
        <v>15</v>
      </c>
      <c r="Q32" s="30">
        <f t="shared" ref="Q32" si="11">O32-P32</f>
        <v>-2</v>
      </c>
      <c r="R32" s="29" t="str">
        <f>Winnipeg_Jets!$AA$87</f>
        <v>L1</v>
      </c>
      <c r="S32" s="28" t="str">
        <f>Winnipeg_Jets!$AD$87</f>
        <v>3-1-1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5</v>
      </c>
      <c r="C35" s="1">
        <f>Anaheim_Ducks!$I$86</f>
        <v>4</v>
      </c>
      <c r="D35" s="1">
        <f>Anaheim_Ducks!$J$86</f>
        <v>1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1-1-0</v>
      </c>
      <c r="L35" s="1" t="str">
        <f>Anaheim_Ducks!$R$87</f>
        <v>3-0-0</v>
      </c>
      <c r="M35" s="1" t="str">
        <f>Anaheim_Ducks!$U$87</f>
        <v>2-1-0</v>
      </c>
      <c r="N35" s="1" t="str">
        <f>Anaheim_Ducks!$X$87</f>
        <v>3-1-0</v>
      </c>
      <c r="O35" s="31">
        <f>Anaheim_Ducks!$E$87</f>
        <v>18</v>
      </c>
      <c r="P35" s="20">
        <f>Anaheim_Ducks!$F$87</f>
        <v>13</v>
      </c>
      <c r="Q35" s="30">
        <f t="shared" ref="Q35:Q42" si="14">O35-P35</f>
        <v>5</v>
      </c>
      <c r="R35" s="29" t="str">
        <f>Anaheim_Ducks!$AA$87</f>
        <v>W2</v>
      </c>
      <c r="S35" s="28" t="str">
        <f>Anaheim_Ducks!$AD$87</f>
        <v>4-1-0</v>
      </c>
    </row>
    <row r="36" spans="1:19" x14ac:dyDescent="0.3">
      <c r="A36" s="32" t="s">
        <v>27</v>
      </c>
      <c r="B36" s="1">
        <f>Calgary_Flames!$D$88</f>
        <v>5</v>
      </c>
      <c r="C36" s="1">
        <f>Calgary_Flames!$I$86</f>
        <v>0</v>
      </c>
      <c r="D36" s="1">
        <f>Calgary_Flames!$J$86</f>
        <v>5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0-3-0</v>
      </c>
      <c r="L36" s="1" t="str">
        <f>Calgary_Flames!$R$87</f>
        <v>0-2-0</v>
      </c>
      <c r="M36" s="1" t="str">
        <f>Calgary_Flames!$U$87</f>
        <v>0-4-0</v>
      </c>
      <c r="N36" s="1" t="str">
        <f>Calgary_Flames!$X$87</f>
        <v>0-5-0</v>
      </c>
      <c r="O36" s="31">
        <f>Calgary_Flames!$E$87</f>
        <v>8</v>
      </c>
      <c r="P36" s="20">
        <f>Calgary_Flames!$F$87</f>
        <v>27</v>
      </c>
      <c r="Q36" s="30">
        <f t="shared" si="14"/>
        <v>-19</v>
      </c>
      <c r="R36" s="29" t="str">
        <f>Calgary_Flames!$AA$87</f>
        <v>L5</v>
      </c>
      <c r="S36" s="28" t="str">
        <f>Calgary_Flames!$AD$87</f>
        <v>0-5-0</v>
      </c>
    </row>
    <row r="37" spans="1:19" x14ac:dyDescent="0.3">
      <c r="A37" s="32" t="s">
        <v>20</v>
      </c>
      <c r="B37" s="1">
        <f>Edmonton_Oilers!$D$88</f>
        <v>5</v>
      </c>
      <c r="C37" s="1">
        <f>Edmonton_Oilers!$I$86</f>
        <v>4</v>
      </c>
      <c r="D37" s="1">
        <f>Edmonton_Oilers!$J$86</f>
        <v>0</v>
      </c>
      <c r="E37" s="20">
        <f>Edmonton_Oilers!$L$86</f>
        <v>1</v>
      </c>
      <c r="F37" s="30">
        <f t="shared" si="12"/>
        <v>9</v>
      </c>
      <c r="G37" s="20">
        <f>C37-Edmonton_Oilers!$K$86</f>
        <v>4</v>
      </c>
      <c r="H37" s="20">
        <f t="shared" si="13"/>
        <v>4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3-0-0</v>
      </c>
      <c r="M37" s="1" t="str">
        <f>Edmonton_Oilers!$U$87</f>
        <v>4-0-1</v>
      </c>
      <c r="N37" s="1" t="str">
        <f>Edmonton_Oilers!$X$87</f>
        <v>4-0-1</v>
      </c>
      <c r="O37" s="31">
        <f>Edmonton_Oilers!$E$87</f>
        <v>25</v>
      </c>
      <c r="P37" s="20">
        <f>Edmonton_Oilers!$F$87</f>
        <v>17</v>
      </c>
      <c r="Q37" s="30">
        <f t="shared" si="14"/>
        <v>8</v>
      </c>
      <c r="R37" s="29" t="str">
        <f>Edmonton_Oilers!$AA$87</f>
        <v>W4</v>
      </c>
      <c r="S37" s="28" t="str">
        <f>Edmonton_Oilers!$AD$87</f>
        <v>4-0-1</v>
      </c>
    </row>
    <row r="38" spans="1:19" x14ac:dyDescent="0.3">
      <c r="A38" s="32" t="s">
        <v>18</v>
      </c>
      <c r="B38" s="1">
        <f>Los_Angeles_Kings!$D$88</f>
        <v>4</v>
      </c>
      <c r="C38" s="1">
        <f>Los_Angeles_Kings!$I$86</f>
        <v>0</v>
      </c>
      <c r="D38" s="1">
        <f>Los_Angeles_Kings!$J$86</f>
        <v>2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0-1-0</v>
      </c>
      <c r="L38" s="1" t="str">
        <f>Los_Angeles_Kings!$R$87</f>
        <v>0-1-2</v>
      </c>
      <c r="M38" s="1" t="str">
        <f>Los_Angeles_Kings!$U$87</f>
        <v>0-0-2</v>
      </c>
      <c r="N38" s="1" t="str">
        <f>Los_Angeles_Kings!$X$87</f>
        <v>0-1-2</v>
      </c>
      <c r="O38" s="31">
        <f>Los_Angeles_Kings!$E$87</f>
        <v>10</v>
      </c>
      <c r="P38" s="20">
        <f>Los_Angeles_Kings!$F$87</f>
        <v>17</v>
      </c>
      <c r="Q38" s="30">
        <f t="shared" si="14"/>
        <v>-7</v>
      </c>
      <c r="R38" s="29" t="str">
        <f>Los_Angeles_Kings!$AA$87</f>
        <v>L4</v>
      </c>
      <c r="S38" s="28" t="str">
        <f>Los_Angeles_Kings!$AD$87</f>
        <v>0-2-2</v>
      </c>
    </row>
    <row r="39" spans="1:19" x14ac:dyDescent="0.3">
      <c r="A39" s="32" t="s">
        <v>8</v>
      </c>
      <c r="B39" s="1">
        <f>San_Jose_Sharks!$D$88</f>
        <v>5</v>
      </c>
      <c r="C39" s="1">
        <f>San_Jose_Sharks!$I$86</f>
        <v>3</v>
      </c>
      <c r="D39" s="1">
        <f>San_Jose_Sharks!$J$86</f>
        <v>2</v>
      </c>
      <c r="E39" s="20">
        <f>San_Jose_Sharks!$L$86</f>
        <v>0</v>
      </c>
      <c r="F39" s="30">
        <f t="shared" si="12"/>
        <v>6</v>
      </c>
      <c r="G39" s="20">
        <f>C39-San_Jose_Sharks!$K$86</f>
        <v>0</v>
      </c>
      <c r="H39" s="20">
        <f t="shared" si="13"/>
        <v>3</v>
      </c>
      <c r="I39" s="20">
        <f>San_Jose_Sharks!$M$86</f>
        <v>0</v>
      </c>
      <c r="J39" s="20">
        <f>San_Jose_Sharks!$N$86</f>
        <v>0</v>
      </c>
      <c r="K39" s="29" t="str">
        <f>San_Jose_Sharks!$O$87</f>
        <v>2-1-0</v>
      </c>
      <c r="L39" s="1" t="str">
        <f>San_Jose_Sharks!$R$87</f>
        <v>1-1-0</v>
      </c>
      <c r="M39" s="1" t="str">
        <f>San_Jose_Sharks!$U$87</f>
        <v>1-1-0</v>
      </c>
      <c r="N39" s="1" t="str">
        <f>San_Jose_Sharks!$X$87</f>
        <v>2-2-0</v>
      </c>
      <c r="O39" s="31">
        <f>San_Jose_Sharks!$E$87</f>
        <v>13</v>
      </c>
      <c r="P39" s="20">
        <f>San_Jose_Sharks!$F$87</f>
        <v>17</v>
      </c>
      <c r="Q39" s="30">
        <f t="shared" si="14"/>
        <v>-4</v>
      </c>
      <c r="R39" s="29" t="str">
        <f>San_Jose_Sharks!$AA$87</f>
        <v>L1</v>
      </c>
      <c r="S39" s="28" t="str">
        <f>San_Jose_Sharks!$AD$87</f>
        <v>3-2-0</v>
      </c>
    </row>
    <row r="40" spans="1:19" x14ac:dyDescent="0.3">
      <c r="A40" s="32" t="s">
        <v>7</v>
      </c>
      <c r="B40" s="1">
        <f>Seattle_Kraken!$D$88</f>
        <v>6</v>
      </c>
      <c r="C40" s="1">
        <f>Seattle_Kraken!$I$86</f>
        <v>4</v>
      </c>
      <c r="D40" s="1">
        <f>Seattle_Kraken!$J$86</f>
        <v>2</v>
      </c>
      <c r="E40" s="20">
        <f>Seattle_Kraken!$L$86</f>
        <v>0</v>
      </c>
      <c r="F40" s="30">
        <f t="shared" si="12"/>
        <v>8</v>
      </c>
      <c r="G40" s="20">
        <f>C40-Seattle_Kraken!$K$86</f>
        <v>4</v>
      </c>
      <c r="H40" s="20">
        <f t="shared" si="13"/>
        <v>4</v>
      </c>
      <c r="I40" s="20">
        <f>Seattle_Kraken!$M$86</f>
        <v>0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3-1-0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26</v>
      </c>
      <c r="P40" s="20">
        <f>Seattle_Kraken!$F$87</f>
        <v>17</v>
      </c>
      <c r="Q40" s="30">
        <f t="shared" si="14"/>
        <v>9</v>
      </c>
      <c r="R40" s="29" t="str">
        <f>Seattle_Kraken!$AA$87</f>
        <v>W2</v>
      </c>
      <c r="S40" s="28" t="str">
        <f>Seattle_Kraken!$AD$87</f>
        <v>4-2-0</v>
      </c>
    </row>
    <row r="41" spans="1:19" x14ac:dyDescent="0.3">
      <c r="A41" s="32" t="s">
        <v>3</v>
      </c>
      <c r="B41" s="1">
        <f>Vancouver_Canucks!$D$88</f>
        <v>7</v>
      </c>
      <c r="C41" s="1">
        <f>Vancouver_Canucks!$I$86</f>
        <v>2</v>
      </c>
      <c r="D41" s="1">
        <f>Vancouver_Canucks!$J$86</f>
        <v>5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1-3-0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24</v>
      </c>
      <c r="P41" s="20">
        <f>Vancouver_Canucks!$F$87</f>
        <v>35</v>
      </c>
      <c r="Q41" s="30">
        <f t="shared" si="14"/>
        <v>-11</v>
      </c>
      <c r="R41" s="29" t="str">
        <f>Vancouver_Canucks!$AA$87</f>
        <v>L4</v>
      </c>
      <c r="S41" s="28" t="str">
        <f>Vancouver_Canucks!$AD$87</f>
        <v>2-5-0</v>
      </c>
    </row>
    <row r="42" spans="1:19" ht="15" thickBot="1" x14ac:dyDescent="0.35">
      <c r="A42" s="27" t="s">
        <v>2</v>
      </c>
      <c r="B42" s="26">
        <f>Vegas_Golden_Knights!$D$88</f>
        <v>7</v>
      </c>
      <c r="C42" s="26">
        <f>Vegas_Golden_Knights!$I$86</f>
        <v>5</v>
      </c>
      <c r="D42" s="26">
        <f>Vegas_Golden_Knights!$J$86</f>
        <v>2</v>
      </c>
      <c r="E42" s="24">
        <f>Vegas_Golden_Knights!$L$86</f>
        <v>0</v>
      </c>
      <c r="F42" s="23">
        <f t="shared" si="12"/>
        <v>10</v>
      </c>
      <c r="G42" s="24">
        <f>C42-Vegas_Golden_Knights!$K$86</f>
        <v>3</v>
      </c>
      <c r="H42" s="24">
        <f t="shared" si="13"/>
        <v>4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3-1-0</v>
      </c>
      <c r="L42" s="26" t="str">
        <f>Vegas_Golden_Knights!$R$87</f>
        <v>2-1-0</v>
      </c>
      <c r="M42" s="26" t="str">
        <f>Vegas_Golden_Knights!$U$87</f>
        <v>3-1-0</v>
      </c>
      <c r="N42" s="26" t="str">
        <f>Vegas_Golden_Knights!$X$87</f>
        <v>4-2-0</v>
      </c>
      <c r="O42" s="25">
        <f>Vegas_Golden_Knights!$E$87</f>
        <v>25</v>
      </c>
      <c r="P42" s="24">
        <f>Vegas_Golden_Knights!$F$87</f>
        <v>18</v>
      </c>
      <c r="Q42" s="23">
        <f t="shared" si="14"/>
        <v>7</v>
      </c>
      <c r="R42" s="22" t="str">
        <f>Vegas_Golden_Knights!$AA$87</f>
        <v>L1</v>
      </c>
      <c r="S42" s="21" t="str">
        <f>Vegas_Golden_Knights!$AD$87</f>
        <v>5-2-0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3-0-0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3-3-0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4</v>
      </c>
      <c r="W86" s="1">
        <f t="shared" si="100"/>
        <v>0</v>
      </c>
      <c r="X86" s="1">
        <f t="shared" si="100"/>
        <v>0</v>
      </c>
      <c r="Y86" s="1">
        <f t="shared" si="100"/>
        <v>5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0-2-0</v>
      </c>
      <c r="U87" s="1" t="str">
        <f>IF(U86="","0-0-0",CONCATENATE(U86,"-",V86,"-",W86))</f>
        <v>0-4-0</v>
      </c>
      <c r="X87" s="1" t="str">
        <f>IF(X86="","0-0-0",CONCATENATE(X86,"-",Y86,"-",Z86))</f>
        <v>0-5-0</v>
      </c>
      <c r="AA87" s="1" t="str">
        <f>IF(AA86="","0-0",CONCATENATE(AA86,AB86))</f>
        <v>L5</v>
      </c>
      <c r="AD87" s="1" t="str">
        <f>IF(AD86="","0-0-0",CONCATENATE(AD86,"-",AE86,"-",AF86))</f>
        <v>0-5-0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4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27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4-0-0</v>
      </c>
      <c r="U87" s="1" t="str">
        <f>IF(U86="","0-0-0",CONCATENATE(U86,"-",V86,"-",W86))</f>
        <v>2-1-0</v>
      </c>
      <c r="X87" s="1" t="str">
        <f>IF(X86="","0-0-0",CONCATENATE(X86,"-",Y86,"-",Z86))</f>
        <v>3-1-1</v>
      </c>
      <c r="AA87" s="1" t="str">
        <f>IF(AA86="","0-0",CONCATENATE(AA86,AB86))</f>
        <v>W5</v>
      </c>
      <c r="AD87" s="1" t="str">
        <f>IF(AD86="","0-0-0",CONCATENATE(AD86,"-",AE86,"-",AF86))</f>
        <v>5-1-1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5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12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0-4-0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L2</v>
      </c>
      <c r="AD87" s="1" t="str">
        <f>IF(AD86="","0-0-0",CONCATENATE(AD86,"-",AE86,"-",AF86))</f>
        <v>1-5-0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3-1-0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1-1-1</v>
      </c>
      <c r="AA87" s="1" t="str">
        <f>IF(AA86="","0-0",CONCATENATE(AA86,AB86))</f>
        <v>L2</v>
      </c>
      <c r="AD87" s="1" t="str">
        <f>IF(AD86="","0-0-0",CONCATENATE(AD86,"-",AE86,"-",AF86))</f>
        <v>1-3-1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4</v>
      </c>
      <c r="V86" s="1">
        <f t="shared" si="100"/>
        <v>0</v>
      </c>
      <c r="W86" s="1">
        <f t="shared" si="100"/>
        <v>1</v>
      </c>
      <c r="X86" s="1">
        <f t="shared" si="100"/>
        <v>4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3-0-0</v>
      </c>
      <c r="U87" s="1" t="str">
        <f>IF(U86="","0-0-0",CONCATENATE(U86,"-",V86,"-",W86))</f>
        <v>4-0-1</v>
      </c>
      <c r="X87" s="1" t="str">
        <f>IF(X86="","0-0-0",CONCATENATE(X86,"-",Y86,"-",Z86))</f>
        <v>4-0-1</v>
      </c>
      <c r="AA87" s="1" t="str">
        <f>IF(AA86="","0-0",CONCATENATE(AA86,AB86))</f>
        <v>W4</v>
      </c>
      <c r="AD87" s="1" t="str">
        <f>IF(AD86="","0-0-0",CONCATENATE(AD86,"-",AE86,"-",AF86))</f>
        <v>4-0-1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2-1-2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L2</v>
      </c>
      <c r="AD87" s="1" t="str">
        <f>IF(AD86="","0-0-0",CONCATENATE(AD86,"-",AE86,"-",AF86))</f>
        <v>2-2-2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2</v>
      </c>
      <c r="X86" s="1">
        <f t="shared" si="100"/>
        <v>0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0-1-2</v>
      </c>
      <c r="U87" s="1" t="str">
        <f>IF(U86="","0-0-0",CONCATENATE(U86,"-",V86,"-",W86))</f>
        <v>0-0-2</v>
      </c>
      <c r="X87" s="1" t="str">
        <f>IF(X86="","0-0-0",CONCATENATE(X86,"-",Y86,"-",Z86))</f>
        <v>0-1-2</v>
      </c>
      <c r="AA87" s="1" t="str">
        <f>IF(AA86="","0-0",CONCATENATE(AA86,AB86))</f>
        <v>L4</v>
      </c>
      <c r="AD87" s="1" t="str">
        <f>IF(AD86="","0-0-0",CONCATENATE(AD86,"-",AE86,"-",AF86))</f>
        <v>0-2-2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2-1-1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W2</v>
      </c>
      <c r="AD87" s="1" t="str">
        <f>IF(AD86="","0-0-0",CONCATENATE(AD86,"-",AE86,"-",AF86))</f>
        <v>4-1-1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15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1-0-1</v>
      </c>
      <c r="U87" s="1" t="str">
        <f>IF(U86="","0-0-0",CONCATENATE(U86,"-",V86,"-",W86))</f>
        <v>2-0-0</v>
      </c>
      <c r="X87" s="1" t="str">
        <f>IF(X86="","0-0-0",CONCATENATE(X86,"-",Y86,"-",Z86))</f>
        <v>2-1-1</v>
      </c>
      <c r="AA87" s="1" t="str">
        <f>IF(AA86="","0-0",CONCATENATE(AA86,AB86))</f>
        <v>W1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1-0-2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2-1-2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0-2-0</v>
      </c>
      <c r="U87" s="1" t="str">
        <f>IF(U86="","0-0-0",CONCATENATE(U86,"-",V86,"-",W86))</f>
        <v>1-1-0</v>
      </c>
      <c r="X87" s="1" t="str">
        <f>IF(X86="","0-0-0",CONCATENATE(X86,"-",Y86,"-",Z86))</f>
        <v>1-3-0</v>
      </c>
      <c r="AA87" s="1" t="str">
        <f>IF(AA86="","0-0",CONCATENATE(AA86,AB86))</f>
        <v>L1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1-2-0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19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3-1-0</v>
      </c>
      <c r="U87" s="1" t="str">
        <f>IF(U86="","0-0-0",CONCATENATE(U86,"-",V86,"-",W86))</f>
        <v>2-1-0</v>
      </c>
      <c r="X87" s="1" t="str">
        <f>IF(X86="","0-0-0",CONCATENATE(X86,"-",Y86,"-",Z86))</f>
        <v>4-1-0</v>
      </c>
      <c r="AA87" s="1" t="str">
        <f>IF(AA86="","0-0",CONCATENATE(AA86,AB86))</f>
        <v>W3</v>
      </c>
      <c r="AD87" s="1" t="str">
        <f>IF(AD86="","0-0-0",CONCATENATE(AD86,"-",AE86,"-",AF86))</f>
        <v>5-1-0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5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1</v>
      </c>
      <c r="R86" s="1">
        <f t="shared" si="100"/>
        <v>0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0</v>
      </c>
      <c r="Y86" s="1">
        <f t="shared" si="100"/>
        <v>5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7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0-2-1</v>
      </c>
      <c r="R87" s="1" t="str">
        <f>IF(R86="","0-0-0",CONCATENATE(R86,"-",S86,"-",T86))</f>
        <v>0-3-1</v>
      </c>
      <c r="U87" s="1" t="str">
        <f>IF(U86="","0-0-0",CONCATENATE(U86,"-",V86,"-",W86))</f>
        <v>0-2-2</v>
      </c>
      <c r="X87" s="1" t="str">
        <f>IF(X86="","0-0-0",CONCATENATE(X86,"-",Y86,"-",Z86))</f>
        <v>0-5-2</v>
      </c>
      <c r="AA87" s="1" t="str">
        <f>IF(AA86="","0-0",CONCATENATE(AA86,AB86))</f>
        <v>L7</v>
      </c>
      <c r="AD87" s="1" t="str">
        <f>IF(AD86="","0-0-0",CONCATENATE(AD86,"-",AE86,"-",AF86))</f>
        <v>0-5-2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W1</v>
      </c>
      <c r="AD87" s="1" t="str">
        <f>IF(AD86="","0-0-0",CONCATENATE(AD86,"-",AE86,"-",AF86))</f>
        <v>3-2-1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3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26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3-1-0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W2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1-2-0</v>
      </c>
      <c r="U87" s="1" t="str">
        <f>IF(U86="","0-0-0",CONCATENATE(U86,"-",V86,"-",W86))</f>
        <v>1-2-0</v>
      </c>
      <c r="X87" s="1" t="str">
        <f>IF(X86="","0-0-0",CONCATENATE(X86,"-",Y86,"-",Z86))</f>
        <v>1-2-1</v>
      </c>
      <c r="AA87" s="1" t="str">
        <f>IF(AA86="","0-0",CONCATENATE(AA86,AB86))</f>
        <v>W1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3-1-0</v>
      </c>
      <c r="AA87" s="1" t="str">
        <f>IF(AA86="","0-0",CONCATENATE(AA86,AB86))</f>
        <v>W4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20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1-0-1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3-2-1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3-2-0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5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1-3-0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L4</v>
      </c>
      <c r="AD87" s="1" t="str">
        <f>IF(AD86="","0-0-0",CONCATENATE(AD86,"-",AE86,"-",AF86))</f>
        <v>2-5-0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2-1-0</v>
      </c>
      <c r="U87" s="1" t="str">
        <f>IF(U86="","0-0-0",CONCATENATE(U86,"-",V86,"-",W86))</f>
        <v>3-1-0</v>
      </c>
      <c r="X87" s="1" t="str">
        <f>IF(X86="","0-0-0",CONCATENATE(X86,"-",Y86,"-",Z86))</f>
        <v>4-2-0</v>
      </c>
      <c r="AA87" s="1" t="str">
        <f>IF(AA86="","0-0",CONCATENATE(AA86,AB86))</f>
        <v>L1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3-0-0</v>
      </c>
      <c r="X87" s="1" t="str">
        <f>IF(X86="","0-0-0",CONCATENATE(X86,"-",Y86,"-",Z86))</f>
        <v>3-1-0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3</v>
      </c>
      <c r="J86" s="1">
        <f t="shared" si="96"/>
        <v>1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1</v>
      </c>
      <c r="P86" s="1">
        <f t="shared" si="97"/>
        <v>1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1</v>
      </c>
      <c r="V86" s="1">
        <f t="shared" si="97"/>
        <v>0</v>
      </c>
      <c r="W86" s="1">
        <f t="shared" si="97"/>
        <v>0</v>
      </c>
      <c r="X86" s="1">
        <f t="shared" si="97"/>
        <v>1</v>
      </c>
      <c r="Y86" s="1">
        <f t="shared" si="97"/>
        <v>1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2-0-0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3-1-1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2026-10-15T01:06:44Z</dcterms:modified>
</cp:coreProperties>
</file>