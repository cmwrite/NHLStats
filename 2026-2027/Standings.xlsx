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6-2027\"/>
    </mc:Choice>
  </mc:AlternateContent>
  <xr:revisionPtr revIDLastSave="0" documentId="13_ncr:1_{A2752B98-4059-4D81-A794-68BF8373F5C4}" xr6:coauthVersionLast="47" xr6:coauthVersionMax="47" xr10:uidLastSave="{00000000-0000-0000-0000-000000000000}"/>
  <bookViews>
    <workbookView xWindow="-38520" yWindow="1590" windowWidth="38640" windowHeight="15720" firstSheet="1" activeTab="1" xr2:uid="{0BC3B3EC-CB40-4BC3-B892-70D07853AD7E}"/>
  </bookViews>
  <sheets>
    <sheet name="Index" sheetId="1" r:id="rId1"/>
    <sheet name="Standings_Daily" sheetId="2" r:id="rId2"/>
    <sheet name="Standings (9-29-26)" sheetId="37" r:id="rId3"/>
    <sheet name="Standings (9-30-26)" sheetId="38" r:id="rId4"/>
    <sheet name="Standings (10-1-26)" sheetId="39" r:id="rId5"/>
    <sheet name="Standings (10-2-26)" sheetId="40" r:id="rId6"/>
    <sheet name="Standings (10-3-26)" sheetId="45" r:id="rId7"/>
    <sheet name="Standings (10-4-26)" sheetId="46" r:id="rId8"/>
    <sheet name="Standings (10-5-26)" sheetId="47" r:id="rId9"/>
    <sheet name="Standings (10-6-26)" sheetId="48" r:id="rId10"/>
    <sheet name="Standings (10-7-26)" sheetId="49" r:id="rId11"/>
    <sheet name="Standings (10-8-26)" sheetId="50" r:id="rId12"/>
    <sheet name="Standings (10-9-26)" sheetId="51" r:id="rId13"/>
    <sheet name="Standings (10-10-26)" sheetId="52" r:id="rId14"/>
    <sheet name="Standings (10-11-26)" sheetId="53" r:id="rId15"/>
    <sheet name="Standings (10-12-26)" sheetId="54" r:id="rId16"/>
    <sheet name="Standings (10-13-26)" sheetId="55" r:id="rId17"/>
    <sheet name="Standings (10-14-26)" sheetId="56" r:id="rId18"/>
    <sheet name="Standings (10-15-26)" sheetId="57" r:id="rId19"/>
    <sheet name="Standings (10-16-26)" sheetId="58" r:id="rId20"/>
    <sheet name="Standings (10-17-26)" sheetId="60" r:id="rId21"/>
    <sheet name="Standings" sheetId="4" r:id="rId22"/>
    <sheet name="Anaheim_Ducks" sheetId="5" r:id="rId23"/>
    <sheet name="Boston_Bruins" sheetId="7" r:id="rId24"/>
    <sheet name="Buffalo_Sabres" sheetId="8" r:id="rId25"/>
    <sheet name="Calgary_Flames" sheetId="9" r:id="rId26"/>
    <sheet name="Carolina_Hurricanes" sheetId="10" r:id="rId27"/>
    <sheet name="Chicago_Blackhawks" sheetId="11" r:id="rId28"/>
    <sheet name="Colorado_Avalanche" sheetId="12" r:id="rId29"/>
    <sheet name="Columbus_Blue_Jackets" sheetId="13" r:id="rId30"/>
    <sheet name="Dallas_Stars" sheetId="14" r:id="rId31"/>
    <sheet name="Detroit_Red_Wings" sheetId="15" r:id="rId32"/>
    <sheet name="Edmonton_Oilers" sheetId="16" r:id="rId33"/>
    <sheet name="Florida_Panthers" sheetId="17" r:id="rId34"/>
    <sheet name="Los_Angeles_Kings" sheetId="18" r:id="rId35"/>
    <sheet name="Minnesota_Wild" sheetId="19" r:id="rId36"/>
    <sheet name="Montreal_Canadiens" sheetId="20" r:id="rId37"/>
    <sheet name="Nashville_Predators" sheetId="21" r:id="rId38"/>
    <sheet name="New_Jersey_Devils" sheetId="22" r:id="rId39"/>
    <sheet name="New_York_Islanders" sheetId="23" r:id="rId40"/>
    <sheet name="New_York_Rangers" sheetId="24" r:id="rId41"/>
    <sheet name="Ottawa_Senators" sheetId="25" r:id="rId42"/>
    <sheet name="Philadelphia_Flyers" sheetId="26" r:id="rId43"/>
    <sheet name="Pittsburgh_Penguins" sheetId="27" r:id="rId44"/>
    <sheet name="San_Jose_Sharks" sheetId="28" r:id="rId45"/>
    <sheet name="Seattle_Kraken" sheetId="29" r:id="rId46"/>
    <sheet name="St_Louis_Blues" sheetId="30" r:id="rId47"/>
    <sheet name="Tampa_Bay_Lightning" sheetId="31" r:id="rId48"/>
    <sheet name="Toronto_Maple_Leafs" sheetId="32" r:id="rId49"/>
    <sheet name="Utah_Mammoth" sheetId="6" r:id="rId50"/>
    <sheet name="Vancouver_Canucks" sheetId="33" r:id="rId51"/>
    <sheet name="Vegas_Golden_Knights" sheetId="34" r:id="rId52"/>
    <sheet name="Washington_Capitals" sheetId="35" r:id="rId53"/>
    <sheet name="Winnipeg_Jets" sheetId="36" r:id="rId5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8" i="8" l="1"/>
  <c r="B5" i="4" s="1"/>
  <c r="D88" i="9"/>
  <c r="B36" i="4" s="1"/>
  <c r="D88" i="10"/>
  <c r="B14" i="4" s="1"/>
  <c r="D88" i="11"/>
  <c r="B25" i="4" s="1"/>
  <c r="D88" i="12"/>
  <c r="B26" i="4" s="1"/>
  <c r="D88" i="13"/>
  <c r="B15" i="4" s="1"/>
  <c r="D88" i="14"/>
  <c r="B27" i="4" s="1"/>
  <c r="D88" i="15"/>
  <c r="B6" i="4" s="1"/>
  <c r="D88" i="16"/>
  <c r="B37" i="4" s="1"/>
  <c r="D88" i="17"/>
  <c r="B7" i="4" s="1"/>
  <c r="D88" i="18"/>
  <c r="B38" i="4" s="1"/>
  <c r="D88" i="19"/>
  <c r="B28" i="4" s="1"/>
  <c r="D88" i="20"/>
  <c r="B8" i="4" s="1"/>
  <c r="D88" i="21"/>
  <c r="B29" i="4" s="1"/>
  <c r="D88" i="22"/>
  <c r="B16" i="4" s="1"/>
  <c r="D88" i="23"/>
  <c r="B17" i="4" s="1"/>
  <c r="D88" i="24"/>
  <c r="B18" i="4" s="1"/>
  <c r="D88" i="25"/>
  <c r="B9" i="4" s="1"/>
  <c r="D88" i="26"/>
  <c r="B19" i="4" s="1"/>
  <c r="D88" i="27"/>
  <c r="B20" i="4" s="1"/>
  <c r="D88" i="28"/>
  <c r="B39" i="4" s="1"/>
  <c r="D88" i="29"/>
  <c r="B40" i="4" s="1"/>
  <c r="D88" i="30"/>
  <c r="B30" i="4" s="1"/>
  <c r="D88" i="31"/>
  <c r="B10" i="4" s="1"/>
  <c r="D88" i="32"/>
  <c r="B11" i="4" s="1"/>
  <c r="D88" i="6"/>
  <c r="B31" i="4" s="1"/>
  <c r="D88" i="33"/>
  <c r="B41" i="4" s="1"/>
  <c r="D88" i="34"/>
  <c r="B42" i="4" s="1"/>
  <c r="D88" i="35"/>
  <c r="B21" i="4" s="1"/>
  <c r="D88" i="36"/>
  <c r="B32" i="4" s="1"/>
  <c r="D88" i="7"/>
  <c r="B4" i="4" s="1"/>
  <c r="D88" i="5"/>
  <c r="B35" i="4" s="1"/>
  <c r="AA84" i="7"/>
  <c r="AC84" i="7"/>
  <c r="AA85" i="7"/>
  <c r="AC85" i="7"/>
  <c r="AA84" i="8"/>
  <c r="AC84" i="8"/>
  <c r="AE84" i="8" s="1"/>
  <c r="AA85" i="8"/>
  <c r="AC85" i="8"/>
  <c r="AE85" i="8" s="1"/>
  <c r="AA84" i="9"/>
  <c r="AC84" i="9"/>
  <c r="AF84" i="9" s="1"/>
  <c r="AA85" i="9"/>
  <c r="AC85" i="9"/>
  <c r="AA84" i="10"/>
  <c r="AC84" i="10"/>
  <c r="AE84" i="10" s="1"/>
  <c r="AA85" i="10"/>
  <c r="AC85" i="10"/>
  <c r="AE85" i="10" s="1"/>
  <c r="AA84" i="11"/>
  <c r="AC84" i="11"/>
  <c r="AD84" i="11" s="1"/>
  <c r="AA85" i="11"/>
  <c r="AC85" i="11"/>
  <c r="AD85" i="11" s="1"/>
  <c r="AA84" i="12"/>
  <c r="AC84" i="12"/>
  <c r="AA85" i="12"/>
  <c r="AC85" i="12"/>
  <c r="AA84" i="13"/>
  <c r="AC84" i="13"/>
  <c r="AF84" i="13" s="1"/>
  <c r="AD84" i="13"/>
  <c r="AE84" i="13"/>
  <c r="AA85" i="13"/>
  <c r="AB85" i="13" s="1"/>
  <c r="AC85" i="13"/>
  <c r="AD85" i="13" s="1"/>
  <c r="AA84" i="14"/>
  <c r="AC84" i="14"/>
  <c r="AA85" i="14"/>
  <c r="AC85" i="14"/>
  <c r="AA84" i="15"/>
  <c r="AC84" i="15"/>
  <c r="AE84" i="15" s="1"/>
  <c r="AA85" i="15"/>
  <c r="AC85" i="15"/>
  <c r="AD85" i="15" s="1"/>
  <c r="AA84" i="16"/>
  <c r="AC84" i="16"/>
  <c r="AA85" i="16"/>
  <c r="AC85" i="16"/>
  <c r="AA84" i="17"/>
  <c r="AC84" i="17"/>
  <c r="AA85" i="17"/>
  <c r="AC85" i="17"/>
  <c r="AD85" i="17" s="1"/>
  <c r="AA84" i="18"/>
  <c r="AC84" i="18"/>
  <c r="AA85" i="18"/>
  <c r="AC85" i="18"/>
  <c r="AF85" i="18" s="1"/>
  <c r="AA84" i="19"/>
  <c r="AC84" i="19"/>
  <c r="AE84" i="19" s="1"/>
  <c r="AA85" i="19"/>
  <c r="AC85" i="19"/>
  <c r="AA84" i="20"/>
  <c r="AC84" i="20"/>
  <c r="AA85" i="20"/>
  <c r="AC85" i="20"/>
  <c r="AE85" i="20" s="1"/>
  <c r="AA84" i="21"/>
  <c r="AC84" i="21"/>
  <c r="AE84" i="21" s="1"/>
  <c r="AA85" i="21"/>
  <c r="AC85" i="21"/>
  <c r="AA84" i="22"/>
  <c r="AC84" i="22"/>
  <c r="AA85" i="22"/>
  <c r="AC85" i="22"/>
  <c r="AE85" i="22" s="1"/>
  <c r="AA84" i="23"/>
  <c r="AC84" i="23"/>
  <c r="AA85" i="23"/>
  <c r="AC85" i="23"/>
  <c r="AD85" i="23" s="1"/>
  <c r="AA84" i="24"/>
  <c r="AC84" i="24"/>
  <c r="AE84" i="24"/>
  <c r="AF84" i="24"/>
  <c r="AA85" i="24"/>
  <c r="AC85" i="24"/>
  <c r="AA84" i="25"/>
  <c r="AC84" i="25"/>
  <c r="AA85" i="25"/>
  <c r="AC85" i="25"/>
  <c r="AA84" i="26"/>
  <c r="AC84" i="26"/>
  <c r="AA85" i="26"/>
  <c r="AC85" i="26"/>
  <c r="AD85" i="26" s="1"/>
  <c r="AA84" i="27"/>
  <c r="AB84" i="27" s="1"/>
  <c r="AC84" i="27"/>
  <c r="AA85" i="27"/>
  <c r="AC85" i="27"/>
  <c r="AE85" i="27" s="1"/>
  <c r="AA84" i="28"/>
  <c r="AC84" i="28"/>
  <c r="AD84" i="28" s="1"/>
  <c r="AA85" i="28"/>
  <c r="AC85" i="28"/>
  <c r="AF85" i="28" s="1"/>
  <c r="AA84" i="29"/>
  <c r="AC84" i="29"/>
  <c r="AD84" i="29" s="1"/>
  <c r="AA85" i="29"/>
  <c r="AC85" i="29"/>
  <c r="AA84" i="30"/>
  <c r="AC84" i="30"/>
  <c r="AA85" i="30"/>
  <c r="AC85" i="30"/>
  <c r="AD85" i="30" s="1"/>
  <c r="AA84" i="31"/>
  <c r="AC84" i="31"/>
  <c r="AD84" i="31" s="1"/>
  <c r="AA85" i="31"/>
  <c r="AC85" i="31"/>
  <c r="AA84" i="32"/>
  <c r="AC84" i="32"/>
  <c r="AA85" i="32"/>
  <c r="AB85" i="32"/>
  <c r="AC85" i="32"/>
  <c r="AA84" i="6"/>
  <c r="AC84" i="6"/>
  <c r="AD84" i="6" s="1"/>
  <c r="AA85" i="6"/>
  <c r="AC85" i="6"/>
  <c r="AF85" i="6" s="1"/>
  <c r="AA84" i="33"/>
  <c r="AC84" i="33"/>
  <c r="AA85" i="33"/>
  <c r="AC85" i="33"/>
  <c r="AA84" i="34"/>
  <c r="AC84" i="34"/>
  <c r="AA85" i="34"/>
  <c r="AC85" i="34"/>
  <c r="AE85" i="34" s="1"/>
  <c r="AA84" i="35"/>
  <c r="AC84" i="35"/>
  <c r="AF84" i="35" s="1"/>
  <c r="AA85" i="35"/>
  <c r="AC85" i="35"/>
  <c r="AF85" i="35"/>
  <c r="U84" i="36"/>
  <c r="V84" i="36"/>
  <c r="W84" i="36"/>
  <c r="AA84" i="36"/>
  <c r="AC84" i="36"/>
  <c r="U85" i="36"/>
  <c r="V85" i="36"/>
  <c r="W85" i="36"/>
  <c r="AA85" i="36"/>
  <c r="AC85" i="36"/>
  <c r="AD85" i="36" s="1"/>
  <c r="AA84" i="5"/>
  <c r="AC84" i="5"/>
  <c r="AA85" i="5"/>
  <c r="AC85" i="5"/>
  <c r="F87" i="7"/>
  <c r="P4" i="4" s="1"/>
  <c r="F87" i="8"/>
  <c r="P5" i="4" s="1"/>
  <c r="F87" i="9"/>
  <c r="P36" i="4" s="1"/>
  <c r="F87" i="10"/>
  <c r="P14" i="4" s="1"/>
  <c r="F87" i="11"/>
  <c r="P25" i="4" s="1"/>
  <c r="F87" i="12"/>
  <c r="P26" i="4" s="1"/>
  <c r="F87" i="13"/>
  <c r="P15" i="4" s="1"/>
  <c r="F87" i="14"/>
  <c r="P27" i="4" s="1"/>
  <c r="F87" i="15"/>
  <c r="P6" i="4" s="1"/>
  <c r="F87" i="16"/>
  <c r="P37" i="4" s="1"/>
  <c r="F87" i="17"/>
  <c r="P7" i="4" s="1"/>
  <c r="F87" i="18"/>
  <c r="P38" i="4" s="1"/>
  <c r="F87" i="19"/>
  <c r="P28" i="4" s="1"/>
  <c r="F87" i="20"/>
  <c r="P8" i="4" s="1"/>
  <c r="F87" i="21"/>
  <c r="P29" i="4" s="1"/>
  <c r="F87" i="22"/>
  <c r="P16" i="4" s="1"/>
  <c r="F87" i="23"/>
  <c r="P17" i="4" s="1"/>
  <c r="F87" i="24"/>
  <c r="P18" i="4" s="1"/>
  <c r="F87" i="25"/>
  <c r="P9" i="4" s="1"/>
  <c r="F87" i="26"/>
  <c r="P19" i="4" s="1"/>
  <c r="F87" i="27"/>
  <c r="P20" i="4" s="1"/>
  <c r="F87" i="28"/>
  <c r="P39" i="4" s="1"/>
  <c r="F87" i="29"/>
  <c r="P40" i="4" s="1"/>
  <c r="F87" i="30"/>
  <c r="P30" i="4" s="1"/>
  <c r="F87" i="31"/>
  <c r="P10" i="4" s="1"/>
  <c r="F87" i="32"/>
  <c r="P11" i="4" s="1"/>
  <c r="F87" i="6"/>
  <c r="P31" i="4" s="1"/>
  <c r="F87" i="33"/>
  <c r="P41" i="4" s="1"/>
  <c r="F87" i="34"/>
  <c r="P42" i="4" s="1"/>
  <c r="F87" i="35"/>
  <c r="P21" i="4" s="1"/>
  <c r="F87" i="36"/>
  <c r="F87" i="5"/>
  <c r="E87" i="7"/>
  <c r="O4" i="4" s="1"/>
  <c r="E87" i="8"/>
  <c r="O5" i="4" s="1"/>
  <c r="E87" i="9"/>
  <c r="O36" i="4" s="1"/>
  <c r="E87" i="10"/>
  <c r="O14" i="4" s="1"/>
  <c r="E87" i="11"/>
  <c r="O25" i="4" s="1"/>
  <c r="E87" i="12"/>
  <c r="O26" i="4" s="1"/>
  <c r="E87" i="13"/>
  <c r="O15" i="4" s="1"/>
  <c r="E87" i="14"/>
  <c r="O27" i="4" s="1"/>
  <c r="E87" i="15"/>
  <c r="O6" i="4" s="1"/>
  <c r="E87" i="16"/>
  <c r="O37" i="4" s="1"/>
  <c r="E87" i="17"/>
  <c r="E87" i="18"/>
  <c r="O38" i="4" s="1"/>
  <c r="E87" i="19"/>
  <c r="O28" i="4" s="1"/>
  <c r="E87" i="20"/>
  <c r="O8" i="4" s="1"/>
  <c r="E87" i="21"/>
  <c r="O29" i="4" s="1"/>
  <c r="E87" i="22"/>
  <c r="O16" i="4" s="1"/>
  <c r="E87" i="23"/>
  <c r="O17" i="4" s="1"/>
  <c r="E87" i="24"/>
  <c r="O18" i="4" s="1"/>
  <c r="E87" i="25"/>
  <c r="O9" i="4" s="1"/>
  <c r="E87" i="26"/>
  <c r="O19" i="4" s="1"/>
  <c r="E87" i="27"/>
  <c r="O20" i="4" s="1"/>
  <c r="E87" i="28"/>
  <c r="O39" i="4" s="1"/>
  <c r="E87" i="29"/>
  <c r="E87" i="30"/>
  <c r="O30" i="4" s="1"/>
  <c r="E87" i="31"/>
  <c r="O10" i="4" s="1"/>
  <c r="E87" i="32"/>
  <c r="O11" i="4" s="1"/>
  <c r="E87" i="6"/>
  <c r="O31" i="4" s="1"/>
  <c r="E87" i="33"/>
  <c r="O41" i="4" s="1"/>
  <c r="E87" i="34"/>
  <c r="O42" i="4" s="1"/>
  <c r="E87" i="35"/>
  <c r="O21" i="4" s="1"/>
  <c r="E87" i="36"/>
  <c r="O32" i="4" s="1"/>
  <c r="E87" i="5"/>
  <c r="O35" i="4" s="1"/>
  <c r="C87" i="7"/>
  <c r="C88" i="7" s="1"/>
  <c r="C87" i="8"/>
  <c r="C87" i="9"/>
  <c r="C87" i="10"/>
  <c r="C87" i="11"/>
  <c r="C87" i="12"/>
  <c r="C87" i="13"/>
  <c r="C87" i="14"/>
  <c r="C87" i="15"/>
  <c r="C87" i="16"/>
  <c r="C87" i="17"/>
  <c r="C87" i="18"/>
  <c r="C87" i="19"/>
  <c r="C87" i="20"/>
  <c r="C87" i="21"/>
  <c r="C87" i="22"/>
  <c r="C87" i="23"/>
  <c r="C87" i="24"/>
  <c r="C87" i="25"/>
  <c r="C87" i="26"/>
  <c r="C87" i="27"/>
  <c r="C87" i="28"/>
  <c r="C88" i="28" s="1"/>
  <c r="C87" i="29"/>
  <c r="C87" i="30"/>
  <c r="C87" i="31"/>
  <c r="C87" i="32"/>
  <c r="C87" i="6"/>
  <c r="C87" i="33"/>
  <c r="C87" i="34"/>
  <c r="C87" i="35"/>
  <c r="C87" i="36"/>
  <c r="C87" i="5"/>
  <c r="C86" i="7"/>
  <c r="C86" i="8"/>
  <c r="C86" i="9"/>
  <c r="C86" i="10"/>
  <c r="C86" i="11"/>
  <c r="C86" i="12"/>
  <c r="C86" i="13"/>
  <c r="C86" i="14"/>
  <c r="C86" i="15"/>
  <c r="C86" i="16"/>
  <c r="C86" i="17"/>
  <c r="C86" i="18"/>
  <c r="C86" i="19"/>
  <c r="C86" i="20"/>
  <c r="C86" i="21"/>
  <c r="C86" i="22"/>
  <c r="C86" i="23"/>
  <c r="C86" i="24"/>
  <c r="C86" i="25"/>
  <c r="C86" i="26"/>
  <c r="C86" i="27"/>
  <c r="C86" i="28"/>
  <c r="C86" i="29"/>
  <c r="C86" i="30"/>
  <c r="C86" i="31"/>
  <c r="C86" i="32"/>
  <c r="C86" i="6"/>
  <c r="C86" i="33"/>
  <c r="C86" i="34"/>
  <c r="C86" i="35"/>
  <c r="C86" i="36"/>
  <c r="C86" i="5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J2" i="36"/>
  <c r="K2" i="36"/>
  <c r="L2" i="36"/>
  <c r="M2" i="36"/>
  <c r="M3" i="36" s="1"/>
  <c r="M4" i="36" s="1"/>
  <c r="N2" i="36"/>
  <c r="N3" i="36" s="1"/>
  <c r="N4" i="36" s="1"/>
  <c r="N5" i="36" s="1"/>
  <c r="N6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Q84" i="36" s="1"/>
  <c r="Q85" i="36" s="1"/>
  <c r="R2" i="36"/>
  <c r="S2" i="36"/>
  <c r="T2" i="36"/>
  <c r="X2" i="36"/>
  <c r="X3" i="36" s="1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X84" i="36" s="1"/>
  <c r="X85" i="36" s="1"/>
  <c r="Y2" i="36"/>
  <c r="Y3" i="36" s="1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Y84" i="36" s="1"/>
  <c r="Y85" i="36" s="1"/>
  <c r="Z2" i="36"/>
  <c r="Z3" i="36" s="1"/>
  <c r="Z4" i="36" s="1"/>
  <c r="Z5" i="36" s="1"/>
  <c r="AA2" i="36"/>
  <c r="AB2" i="36" s="1"/>
  <c r="AC2" i="36"/>
  <c r="AD2" i="36" s="1"/>
  <c r="K3" i="36"/>
  <c r="L3" i="36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AA3" i="36"/>
  <c r="AC3" i="36"/>
  <c r="AA4" i="36"/>
  <c r="AC4" i="36"/>
  <c r="AA5" i="36"/>
  <c r="AC5" i="36"/>
  <c r="AA6" i="36"/>
  <c r="AC6" i="36"/>
  <c r="N7" i="36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N84" i="36" s="1"/>
  <c r="N85" i="36" s="1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B24" i="36" s="1"/>
  <c r="AC24" i="36"/>
  <c r="AA25" i="36"/>
  <c r="AC25" i="36"/>
  <c r="AA26" i="36"/>
  <c r="AC26" i="36"/>
  <c r="AA27" i="36"/>
  <c r="AC27" i="36"/>
  <c r="AA28" i="36"/>
  <c r="AC28" i="36"/>
  <c r="AA29" i="36"/>
  <c r="AC29" i="36"/>
  <c r="AF29" i="36" s="1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B59" i="36" s="1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F78" i="36" s="1"/>
  <c r="AA72" i="36"/>
  <c r="AC72" i="36"/>
  <c r="AA73" i="36"/>
  <c r="AC73" i="36"/>
  <c r="AA74" i="36"/>
  <c r="AC74" i="36"/>
  <c r="AA75" i="36"/>
  <c r="AC75" i="36"/>
  <c r="AD75" i="36" s="1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M84" i="35" s="1"/>
  <c r="N2" i="35"/>
  <c r="N3" i="35" s="1"/>
  <c r="N4" i="35" s="1"/>
  <c r="N5" i="35" s="1"/>
  <c r="N6" i="35" s="1"/>
  <c r="N7" i="35" s="1"/>
  <c r="O2" i="35"/>
  <c r="O3" i="35" s="1"/>
  <c r="O4" i="35" s="1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O84" i="35" s="1"/>
  <c r="O85" i="35" s="1"/>
  <c r="P2" i="35"/>
  <c r="P3" i="35" s="1"/>
  <c r="P4" i="35" s="1"/>
  <c r="P5" i="35" s="1"/>
  <c r="P6" i="35" s="1"/>
  <c r="Q2" i="35"/>
  <c r="Q3" i="35" s="1"/>
  <c r="Q4" i="35" s="1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Q84" i="35" s="1"/>
  <c r="Q85" i="35" s="1"/>
  <c r="R2" i="35"/>
  <c r="R3" i="35" s="1"/>
  <c r="R4" i="35" s="1"/>
  <c r="R5" i="35" s="1"/>
  <c r="S2" i="35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Z2" i="35"/>
  <c r="AA2" i="35"/>
  <c r="AC2" i="35"/>
  <c r="AD2" i="35" s="1"/>
  <c r="K3" i="35"/>
  <c r="K4" i="35" s="1"/>
  <c r="Z3" i="35"/>
  <c r="AA3" i="35"/>
  <c r="AC3" i="35"/>
  <c r="AA4" i="35"/>
  <c r="AC4" i="35"/>
  <c r="AA5" i="35"/>
  <c r="AC5" i="35"/>
  <c r="AA6" i="35"/>
  <c r="AC6" i="35"/>
  <c r="P7" i="35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P84" i="35" s="1"/>
  <c r="P85" i="35" s="1"/>
  <c r="AA7" i="35"/>
  <c r="AC7" i="35"/>
  <c r="N8" i="35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N84" i="35" s="1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A22" i="35"/>
  <c r="AC22" i="35"/>
  <c r="AA23" i="35"/>
  <c r="AC23" i="35"/>
  <c r="AA24" i="35"/>
  <c r="AC24" i="35"/>
  <c r="AA25" i="35"/>
  <c r="AC25" i="35"/>
  <c r="AA26" i="35"/>
  <c r="AC26" i="35"/>
  <c r="AA27" i="35"/>
  <c r="AC27" i="35"/>
  <c r="AA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E39" i="35" s="1"/>
  <c r="AA40" i="35"/>
  <c r="AC40" i="35"/>
  <c r="AA41" i="35"/>
  <c r="AC41" i="35"/>
  <c r="AA42" i="35"/>
  <c r="AC42" i="35"/>
  <c r="AA43" i="35"/>
  <c r="AC43" i="35"/>
  <c r="AA44" i="35"/>
  <c r="AC44" i="35"/>
  <c r="AD52" i="35" s="1"/>
  <c r="AA45" i="35"/>
  <c r="AC45" i="35"/>
  <c r="AA46" i="35"/>
  <c r="AC46" i="35"/>
  <c r="AA47" i="35"/>
  <c r="AC47" i="35"/>
  <c r="AD47" i="35" s="1"/>
  <c r="AA48" i="35"/>
  <c r="AC48" i="35"/>
  <c r="AA49" i="35"/>
  <c r="AC49" i="35"/>
  <c r="AA50" i="35"/>
  <c r="AC50" i="35"/>
  <c r="AA51" i="35"/>
  <c r="AC51" i="35"/>
  <c r="AA52" i="35"/>
  <c r="AC52" i="35"/>
  <c r="AA53" i="35"/>
  <c r="AC53" i="35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B61" i="35" s="1"/>
  <c r="AC61" i="35"/>
  <c r="AA62" i="35"/>
  <c r="AB62" i="35" s="1"/>
  <c r="AC62" i="35"/>
  <c r="AA63" i="35"/>
  <c r="AC63" i="35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F80" i="35" s="1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A81" i="35"/>
  <c r="AC81" i="35"/>
  <c r="AA82" i="35"/>
  <c r="AC82" i="35"/>
  <c r="AA83" i="35"/>
  <c r="AC83" i="35"/>
  <c r="I2" i="34"/>
  <c r="J2" i="34"/>
  <c r="J3" i="34" s="1"/>
  <c r="J4" i="34" s="1"/>
  <c r="J5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L84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N84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O84" i="34" s="1"/>
  <c r="O85" i="34" s="1"/>
  <c r="P2" i="34"/>
  <c r="Q2" i="34"/>
  <c r="R2" i="34"/>
  <c r="S2" i="34"/>
  <c r="T2" i="34"/>
  <c r="U2" i="34"/>
  <c r="V2" i="34"/>
  <c r="V3" i="34" s="1"/>
  <c r="V4" i="34" s="1"/>
  <c r="W2" i="34"/>
  <c r="W3" i="34" s="1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W84" i="34" s="1"/>
  <c r="W85" i="34" s="1"/>
  <c r="X2" i="34"/>
  <c r="Y2" i="34"/>
  <c r="Z2" i="34"/>
  <c r="AA2" i="34"/>
  <c r="AB2" i="34" s="1"/>
  <c r="AC2" i="34"/>
  <c r="AD2" i="34" s="1"/>
  <c r="I3" i="34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I84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R84" i="34" s="1"/>
  <c r="R85" i="34" s="1"/>
  <c r="Z3" i="34"/>
  <c r="AA3" i="34"/>
  <c r="AB3" i="34" s="1"/>
  <c r="AC3" i="34"/>
  <c r="M4" i="34"/>
  <c r="AA4" i="34"/>
  <c r="AC4" i="34"/>
  <c r="AA5" i="34"/>
  <c r="AC5" i="34"/>
  <c r="AA6" i="34"/>
  <c r="AC6" i="34"/>
  <c r="AA7" i="34"/>
  <c r="AC7" i="34"/>
  <c r="AA8" i="34"/>
  <c r="AC8" i="34"/>
  <c r="AA9" i="34"/>
  <c r="AC9" i="34"/>
  <c r="AA10" i="34"/>
  <c r="AC10" i="34"/>
  <c r="AE18" i="34" s="1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C17" i="34"/>
  <c r="AA18" i="34"/>
  <c r="AC18" i="34"/>
  <c r="AA19" i="34"/>
  <c r="AC19" i="34"/>
  <c r="AA20" i="34"/>
  <c r="AC20" i="34"/>
  <c r="AA21" i="34"/>
  <c r="AC21" i="34"/>
  <c r="AA22" i="34"/>
  <c r="AC22" i="34"/>
  <c r="AA23" i="34"/>
  <c r="AC23" i="34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D61" i="34" s="1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A62" i="34"/>
  <c r="AC62" i="34"/>
  <c r="AA63" i="34"/>
  <c r="AC63" i="34"/>
  <c r="AA64" i="34"/>
  <c r="AC64" i="34"/>
  <c r="AA65" i="34"/>
  <c r="AC65" i="34"/>
  <c r="AA66" i="34"/>
  <c r="AC66" i="34"/>
  <c r="AA67" i="34"/>
  <c r="AC67" i="34"/>
  <c r="AA68" i="34"/>
  <c r="AC68" i="34"/>
  <c r="AA69" i="34"/>
  <c r="AB69" i="34" s="1"/>
  <c r="AC69" i="34"/>
  <c r="AA70" i="34"/>
  <c r="AB70" i="34" s="1"/>
  <c r="AC70" i="34"/>
  <c r="AA71" i="34"/>
  <c r="AB71" i="34" s="1"/>
  <c r="AC71" i="34"/>
  <c r="AA72" i="34"/>
  <c r="AB72" i="34" s="1"/>
  <c r="AC72" i="34"/>
  <c r="AA73" i="34"/>
  <c r="AC73" i="34"/>
  <c r="AA74" i="34"/>
  <c r="AB74" i="34" s="1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I2" i="33"/>
  <c r="J2" i="33"/>
  <c r="K2" i="33"/>
  <c r="K3" i="33" s="1"/>
  <c r="L2" i="33"/>
  <c r="L3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M84" i="33" s="1"/>
  <c r="M85" i="33" s="1"/>
  <c r="N2" i="33"/>
  <c r="O2" i="33"/>
  <c r="O3" i="33" s="1"/>
  <c r="O4" i="33" s="1"/>
  <c r="P2" i="33"/>
  <c r="P3" i="33" s="1"/>
  <c r="Q2" i="33"/>
  <c r="Q3" i="33" s="1"/>
  <c r="R2" i="33"/>
  <c r="S2" i="33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U84" i="33" s="1"/>
  <c r="U85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Z2" i="33"/>
  <c r="AA2" i="33"/>
  <c r="AC2" i="33"/>
  <c r="AF2" i="33" s="1"/>
  <c r="I3" i="33"/>
  <c r="AA3" i="33"/>
  <c r="AC3" i="33"/>
  <c r="I4" i="33"/>
  <c r="L4" i="33"/>
  <c r="AA4" i="33"/>
  <c r="AC4" i="33"/>
  <c r="O5" i="33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O84" i="33" s="1"/>
  <c r="O85" i="33" s="1"/>
  <c r="AA5" i="33"/>
  <c r="AC5" i="33"/>
  <c r="AA6" i="33"/>
  <c r="AC6" i="33"/>
  <c r="AA7" i="33"/>
  <c r="AC7" i="33"/>
  <c r="AA8" i="33"/>
  <c r="AC8" i="33"/>
  <c r="AA9" i="33"/>
  <c r="AC9" i="33"/>
  <c r="AD16" i="33" s="1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B22" i="33"/>
  <c r="AC22" i="33"/>
  <c r="AA23" i="33"/>
  <c r="AC23" i="33"/>
  <c r="AE31" i="33" s="1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A32" i="33"/>
  <c r="AC32" i="33"/>
  <c r="AA33" i="33"/>
  <c r="AC33" i="33"/>
  <c r="AA34" i="33"/>
  <c r="AC34" i="33"/>
  <c r="AA35" i="33"/>
  <c r="AC35" i="33"/>
  <c r="AA36" i="33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F52" i="33" s="1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A66" i="33"/>
  <c r="AC66" i="33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E72" i="33" s="1"/>
  <c r="AA73" i="33"/>
  <c r="AC73" i="33"/>
  <c r="AD81" i="33" s="1"/>
  <c r="AA74" i="33"/>
  <c r="AC74" i="33"/>
  <c r="AF81" i="33" s="1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A82" i="33"/>
  <c r="AC82" i="33"/>
  <c r="AA83" i="33"/>
  <c r="AC83" i="33"/>
  <c r="I2" i="32"/>
  <c r="J2" i="32"/>
  <c r="K2" i="32"/>
  <c r="L2" i="32"/>
  <c r="M2" i="32"/>
  <c r="N2" i="32"/>
  <c r="N3" i="32" s="1"/>
  <c r="N4" i="32" s="1"/>
  <c r="N5" i="32" s="1"/>
  <c r="N6" i="32" s="1"/>
  <c r="O2" i="32"/>
  <c r="O3" i="32" s="1"/>
  <c r="P2" i="32"/>
  <c r="P3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Q84" i="32" s="1"/>
  <c r="Q85" i="32" s="1"/>
  <c r="R2" i="32"/>
  <c r="R3" i="32" s="1"/>
  <c r="R4" i="32" s="1"/>
  <c r="S2" i="32"/>
  <c r="T2" i="32"/>
  <c r="U2" i="32"/>
  <c r="U3" i="32" s="1"/>
  <c r="V2" i="32"/>
  <c r="W2" i="32"/>
  <c r="W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X84" i="32" s="1"/>
  <c r="X85" i="32" s="1"/>
  <c r="Y2" i="32"/>
  <c r="Y3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Z84" i="32" s="1"/>
  <c r="Z85" i="32" s="1"/>
  <c r="AA2" i="32"/>
  <c r="AB2" i="32" s="1"/>
  <c r="AC2" i="32"/>
  <c r="AD2" i="32" s="1"/>
  <c r="I3" i="32"/>
  <c r="I4" i="32" s="1"/>
  <c r="I5" i="32" s="1"/>
  <c r="I6" i="32" s="1"/>
  <c r="I7" i="32" s="1"/>
  <c r="I8" i="32" s="1"/>
  <c r="I9" i="32" s="1"/>
  <c r="J3" i="32"/>
  <c r="J4" i="32" s="1"/>
  <c r="J5" i="32" s="1"/>
  <c r="J6" i="32" s="1"/>
  <c r="J7" i="32" s="1"/>
  <c r="AA3" i="32"/>
  <c r="AC3" i="32"/>
  <c r="O4" i="32"/>
  <c r="P4" i="32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AA4" i="32"/>
  <c r="AC4" i="32"/>
  <c r="O5" i="32"/>
  <c r="O6" i="32" s="1"/>
  <c r="O7" i="32" s="1"/>
  <c r="O8" i="32" s="1"/>
  <c r="R5" i="32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R84" i="32" s="1"/>
  <c r="R85" i="32" s="1"/>
  <c r="AA5" i="32"/>
  <c r="AC5" i="32"/>
  <c r="AA6" i="32"/>
  <c r="AC6" i="32"/>
  <c r="N7" i="32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N84" i="32" s="1"/>
  <c r="N85" i="32" s="1"/>
  <c r="AA7" i="32"/>
  <c r="AC7" i="32"/>
  <c r="AA8" i="32"/>
  <c r="AC8" i="32"/>
  <c r="AA9" i="32"/>
  <c r="AC9" i="32"/>
  <c r="I10" i="32"/>
  <c r="AA10" i="32"/>
  <c r="AC10" i="32"/>
  <c r="AA11" i="32"/>
  <c r="AC11" i="32"/>
  <c r="AA12" i="32"/>
  <c r="AC12" i="32"/>
  <c r="AA13" i="32"/>
  <c r="AC13" i="32"/>
  <c r="AA14" i="32"/>
  <c r="AB14" i="32" s="1"/>
  <c r="AC14" i="32"/>
  <c r="AA15" i="32"/>
  <c r="AB15" i="32" s="1"/>
  <c r="AC15" i="32"/>
  <c r="AA16" i="32"/>
  <c r="AC16" i="32"/>
  <c r="AE16" i="32" s="1"/>
  <c r="AA17" i="32"/>
  <c r="AC17" i="32"/>
  <c r="AA18" i="32"/>
  <c r="AC18" i="32"/>
  <c r="AA19" i="32"/>
  <c r="AC19" i="32"/>
  <c r="AA20" i="32"/>
  <c r="AC20" i="32"/>
  <c r="AA21" i="32"/>
  <c r="AC21" i="32"/>
  <c r="AA22" i="32"/>
  <c r="AC22" i="32"/>
  <c r="AA23" i="32"/>
  <c r="AC23" i="32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P32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D43" i="32" s="1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D52" i="32" s="1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C71" i="32"/>
  <c r="AA72" i="32"/>
  <c r="AC72" i="32"/>
  <c r="AA73" i="32"/>
  <c r="AC73" i="32"/>
  <c r="AA74" i="32"/>
  <c r="AC74" i="32"/>
  <c r="AA75" i="32"/>
  <c r="AC75" i="32"/>
  <c r="AA76" i="32"/>
  <c r="AB76" i="32" s="1"/>
  <c r="AC76" i="32"/>
  <c r="AA77" i="32"/>
  <c r="AC77" i="32"/>
  <c r="AA78" i="32"/>
  <c r="AC78" i="32"/>
  <c r="AA79" i="32"/>
  <c r="AC79" i="32"/>
  <c r="AA80" i="32"/>
  <c r="AC80" i="32"/>
  <c r="AA81" i="32"/>
  <c r="AC81" i="32"/>
  <c r="AA82" i="32"/>
  <c r="AC82" i="32"/>
  <c r="AA83" i="32"/>
  <c r="AC83" i="32"/>
  <c r="I2" i="31"/>
  <c r="I3" i="31" s="1"/>
  <c r="I4" i="31" s="1"/>
  <c r="I5" i="31" s="1"/>
  <c r="I6" i="31" s="1"/>
  <c r="I7" i="31" s="1"/>
  <c r="I8" i="31" s="1"/>
  <c r="J2" i="31"/>
  <c r="J3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M5" i="31" s="1"/>
  <c r="M6" i="31" s="1"/>
  <c r="M7" i="31" s="1"/>
  <c r="M8" i="31" s="1"/>
  <c r="M9" i="31" s="1"/>
  <c r="M10" i="31" s="1"/>
  <c r="M11" i="31" s="1"/>
  <c r="M12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Q2" i="31"/>
  <c r="R2" i="31"/>
  <c r="S2" i="31"/>
  <c r="S3" i="31" s="1"/>
  <c r="T2" i="31"/>
  <c r="T3" i="31" s="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T84" i="31" s="1"/>
  <c r="T85" i="31" s="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W2" i="3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AA3" i="31"/>
  <c r="AC3" i="31"/>
  <c r="J4" i="31"/>
  <c r="L4" i="31"/>
  <c r="P4" i="31"/>
  <c r="P5" i="31" s="1"/>
  <c r="P6" i="31" s="1"/>
  <c r="AA4" i="31"/>
  <c r="AC4" i="31"/>
  <c r="J5" i="31"/>
  <c r="J6" i="31" s="1"/>
  <c r="J7" i="31" s="1"/>
  <c r="J8" i="31" s="1"/>
  <c r="J9" i="31" s="1"/>
  <c r="J10" i="31" s="1"/>
  <c r="J11" i="31" s="1"/>
  <c r="J12" i="31" s="1"/>
  <c r="J13" i="31" s="1"/>
  <c r="J14" i="31" s="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L84" i="31" s="1"/>
  <c r="AA5" i="31"/>
  <c r="AC5" i="31"/>
  <c r="AA6" i="31"/>
  <c r="AC6" i="31"/>
  <c r="Q7" i="3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Q84" i="31" s="1"/>
  <c r="Q85" i="31" s="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A26" i="31"/>
  <c r="AC26" i="31"/>
  <c r="AA27" i="31"/>
  <c r="AC27" i="31"/>
  <c r="AA28" i="31"/>
  <c r="AC28" i="31"/>
  <c r="AA29" i="31"/>
  <c r="AC29" i="31"/>
  <c r="AA30" i="31"/>
  <c r="AC30" i="31"/>
  <c r="AD30" i="31" s="1"/>
  <c r="AA31" i="31"/>
  <c r="AC31" i="31"/>
  <c r="AF31" i="31" s="1"/>
  <c r="AA32" i="31"/>
  <c r="AC32" i="31"/>
  <c r="AD32" i="31" s="1"/>
  <c r="AA33" i="3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F38" i="31" s="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A52" i="31"/>
  <c r="AC52" i="31"/>
  <c r="AA53" i="31"/>
  <c r="AC53" i="31"/>
  <c r="AA54" i="31"/>
  <c r="AC54" i="31"/>
  <c r="AA55" i="31"/>
  <c r="AC55" i="31"/>
  <c r="AD63" i="31" s="1"/>
  <c r="AA56" i="31"/>
  <c r="AC56" i="31"/>
  <c r="AD56" i="31" s="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A64" i="31"/>
  <c r="AC64" i="31"/>
  <c r="AA65" i="31"/>
  <c r="AC65" i="31"/>
  <c r="AA66" i="31"/>
  <c r="AC66" i="31"/>
  <c r="AA67" i="31"/>
  <c r="AC67" i="31"/>
  <c r="AA68" i="31"/>
  <c r="AC68" i="31"/>
  <c r="AA69" i="31"/>
  <c r="AC69" i="31"/>
  <c r="AA70" i="31"/>
  <c r="AC70" i="31"/>
  <c r="AA71" i="31"/>
  <c r="AC71" i="31"/>
  <c r="AA72" i="31"/>
  <c r="AB72" i="31" s="1"/>
  <c r="AC72" i="31"/>
  <c r="AD78" i="31" s="1"/>
  <c r="AA73" i="31"/>
  <c r="AC73" i="31"/>
  <c r="AA74" i="31"/>
  <c r="AC74" i="31"/>
  <c r="AA75" i="31"/>
  <c r="AC75" i="31"/>
  <c r="AF84" i="31" s="1"/>
  <c r="AA76" i="31"/>
  <c r="AC76" i="31"/>
  <c r="AE85" i="31" s="1"/>
  <c r="AA77" i="31"/>
  <c r="AC77" i="31"/>
  <c r="AD85" i="31" s="1"/>
  <c r="AA78" i="31"/>
  <c r="AB78" i="31" s="1"/>
  <c r="AC78" i="31"/>
  <c r="AA79" i="31"/>
  <c r="AC79" i="31"/>
  <c r="AA80" i="31"/>
  <c r="AC80" i="31"/>
  <c r="AA81" i="31"/>
  <c r="AC81" i="31"/>
  <c r="AA82" i="31"/>
  <c r="AC82" i="31"/>
  <c r="AA83" i="31"/>
  <c r="AC83" i="31"/>
  <c r="I2" i="30"/>
  <c r="J2" i="30"/>
  <c r="K2" i="30"/>
  <c r="L2" i="30"/>
  <c r="M2" i="30"/>
  <c r="N2" i="30"/>
  <c r="N3" i="30" s="1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2" i="30"/>
  <c r="P2" i="30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Q84" i="30" s="1"/>
  <c r="Q85" i="30" s="1"/>
  <c r="R2" i="30"/>
  <c r="S2" i="30"/>
  <c r="T2" i="30"/>
  <c r="T3" i="30" s="1"/>
  <c r="T4" i="30" s="1"/>
  <c r="U2" i="30"/>
  <c r="U3" i="30" s="1"/>
  <c r="U4" i="30" s="1"/>
  <c r="U5" i="30" s="1"/>
  <c r="U6" i="30" s="1"/>
  <c r="U7" i="30" s="1"/>
  <c r="V2" i="30"/>
  <c r="W2" i="30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AA2" i="30"/>
  <c r="AB2" i="30" s="1"/>
  <c r="AC2" i="30"/>
  <c r="AD2" i="30" s="1"/>
  <c r="W3" i="30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W84" i="30" s="1"/>
  <c r="W85" i="30" s="1"/>
  <c r="Z3" i="30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Z84" i="30" s="1"/>
  <c r="Z85" i="30" s="1"/>
  <c r="AA3" i="30"/>
  <c r="AC3" i="30"/>
  <c r="AA4" i="30"/>
  <c r="AC4" i="30"/>
  <c r="T5" i="30"/>
  <c r="T6" i="30" s="1"/>
  <c r="T7" i="30" s="1"/>
  <c r="T8" i="30" s="1"/>
  <c r="T9" i="30" s="1"/>
  <c r="T10" i="30" s="1"/>
  <c r="T11" i="30" s="1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B16" i="30" s="1"/>
  <c r="AC16" i="30"/>
  <c r="AA17" i="30"/>
  <c r="AC17" i="30"/>
  <c r="AA18" i="30"/>
  <c r="AC18" i="30"/>
  <c r="AA19" i="30"/>
  <c r="AC19" i="30"/>
  <c r="AA20" i="30"/>
  <c r="AC20" i="30"/>
  <c r="AA21" i="30"/>
  <c r="AC21" i="30"/>
  <c r="AE29" i="30" s="1"/>
  <c r="AA22" i="30"/>
  <c r="AC22" i="30"/>
  <c r="AA23" i="30"/>
  <c r="AC23" i="30"/>
  <c r="AA24" i="30"/>
  <c r="AC24" i="30"/>
  <c r="AA25" i="30"/>
  <c r="AC25" i="30"/>
  <c r="AA26" i="30"/>
  <c r="AC26" i="30"/>
  <c r="AA27" i="30"/>
  <c r="AC27" i="30"/>
  <c r="AA28" i="30"/>
  <c r="AC28" i="30"/>
  <c r="AA29" i="30"/>
  <c r="AC29" i="30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E66" i="30" s="1"/>
  <c r="AA59" i="30"/>
  <c r="AC59" i="30"/>
  <c r="AA60" i="30"/>
  <c r="AC60" i="30"/>
  <c r="AE60" i="30" s="1"/>
  <c r="AA61" i="30"/>
  <c r="AC61" i="30"/>
  <c r="AA62" i="30"/>
  <c r="AC62" i="30"/>
  <c r="AA63" i="30"/>
  <c r="AC63" i="30"/>
  <c r="AA64" i="30"/>
  <c r="AC64" i="30"/>
  <c r="AA65" i="30"/>
  <c r="AC65" i="30"/>
  <c r="AA66" i="30"/>
  <c r="AC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B77" i="30"/>
  <c r="AC77" i="30"/>
  <c r="AA78" i="30"/>
  <c r="AB78" i="30" s="1"/>
  <c r="AC78" i="30"/>
  <c r="AA79" i="30"/>
  <c r="AC79" i="30"/>
  <c r="AA80" i="30"/>
  <c r="AC80" i="30"/>
  <c r="AA81" i="30"/>
  <c r="AC81" i="30"/>
  <c r="AA82" i="30"/>
  <c r="AC82" i="30"/>
  <c r="AA83" i="30"/>
  <c r="AC83" i="30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J84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L2" i="29"/>
  <c r="M2" i="29"/>
  <c r="M3" i="29" s="1"/>
  <c r="M4" i="29" s="1"/>
  <c r="N2" i="29"/>
  <c r="O2" i="29"/>
  <c r="P2" i="29"/>
  <c r="Q2" i="29"/>
  <c r="R2" i="29"/>
  <c r="R3" i="29" s="1"/>
  <c r="R4" i="29" s="1"/>
  <c r="R5" i="29" s="1"/>
  <c r="S2" i="29"/>
  <c r="S3" i="29" s="1"/>
  <c r="S4" i="29" s="1"/>
  <c r="S5" i="29" s="1"/>
  <c r="S6" i="29" s="1"/>
  <c r="S7" i="29" s="1"/>
  <c r="S8" i="29" s="1"/>
  <c r="S9" i="29" s="1"/>
  <c r="T2" i="29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U84" i="29" s="1"/>
  <c r="U85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V84" i="29" s="1"/>
  <c r="V85" i="29" s="1"/>
  <c r="W2" i="29"/>
  <c r="W3" i="29" s="1"/>
  <c r="W4" i="29" s="1"/>
  <c r="W5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L24" i="29" s="1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N3" i="29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3" i="29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O84" i="29" s="1"/>
  <c r="O85" i="29" s="1"/>
  <c r="P3" i="29"/>
  <c r="Q3" i="29"/>
  <c r="Q4" i="29" s="1"/>
  <c r="Q5" i="29" s="1"/>
  <c r="Q6" i="29" s="1"/>
  <c r="Q7" i="29" s="1"/>
  <c r="Q8" i="29" s="1"/>
  <c r="Q9" i="29" s="1"/>
  <c r="T3" i="29"/>
  <c r="AA3" i="29"/>
  <c r="AC3" i="29"/>
  <c r="P4" i="29"/>
  <c r="P5" i="29" s="1"/>
  <c r="T4" i="29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T84" i="29" s="1"/>
  <c r="T85" i="29" s="1"/>
  <c r="AA4" i="29"/>
  <c r="AC4" i="29"/>
  <c r="M5" i="29"/>
  <c r="M6" i="29" s="1"/>
  <c r="M7" i="29" s="1"/>
  <c r="AA5" i="29"/>
  <c r="AC5" i="29"/>
  <c r="P6" i="29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P84" i="29" s="1"/>
  <c r="P85" i="29" s="1"/>
  <c r="R6" i="29"/>
  <c r="R7" i="29" s="1"/>
  <c r="R8" i="29" s="1"/>
  <c r="R9" i="29" s="1"/>
  <c r="W6" i="29"/>
  <c r="W7" i="29" s="1"/>
  <c r="W8" i="29" s="1"/>
  <c r="W9" i="29" s="1"/>
  <c r="W10" i="29" s="1"/>
  <c r="W11" i="29" s="1"/>
  <c r="W12" i="29" s="1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C13" i="29"/>
  <c r="AA14" i="29"/>
  <c r="AC14" i="29"/>
  <c r="AA15" i="29"/>
  <c r="AC15" i="29"/>
  <c r="AA16" i="29"/>
  <c r="AC16" i="29"/>
  <c r="AA17" i="29"/>
  <c r="AB17" i="29" s="1"/>
  <c r="AC17" i="29"/>
  <c r="AE17" i="29" s="1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F41" i="29" s="1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A56" i="29"/>
  <c r="AC56" i="29"/>
  <c r="AA57" i="29"/>
  <c r="AC57" i="29"/>
  <c r="AA58" i="29"/>
  <c r="AC58" i="29"/>
  <c r="AD58" i="29" s="1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F84" i="29" s="1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I2" i="28"/>
  <c r="J2" i="28"/>
  <c r="K2" i="28"/>
  <c r="L2" i="28"/>
  <c r="M2" i="28"/>
  <c r="N2" i="28"/>
  <c r="N3" i="28" s="1"/>
  <c r="N4" i="28" s="1"/>
  <c r="N5" i="28" s="1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N84" i="28" s="1"/>
  <c r="O2" i="28"/>
  <c r="P2" i="28"/>
  <c r="Q2" i="28"/>
  <c r="R2" i="28"/>
  <c r="S2" i="28"/>
  <c r="T2" i="28"/>
  <c r="U2" i="28"/>
  <c r="U3" i="28" s="1"/>
  <c r="U4" i="28" s="1"/>
  <c r="U5" i="28" s="1"/>
  <c r="U6" i="28" s="1"/>
  <c r="V2" i="28"/>
  <c r="W2" i="28"/>
  <c r="W3" i="28" s="1"/>
  <c r="X2" i="28"/>
  <c r="X3" i="28" s="1"/>
  <c r="Y2" i="28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L84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Q84" i="28" s="1"/>
  <c r="Q85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R84" i="28" s="1"/>
  <c r="R85" i="28" s="1"/>
  <c r="S3" i="28"/>
  <c r="S4" i="28" s="1"/>
  <c r="S5" i="28" s="1"/>
  <c r="S6" i="28" s="1"/>
  <c r="S7" i="28" s="1"/>
  <c r="S8" i="28" s="1"/>
  <c r="S9" i="28" s="1"/>
  <c r="T3" i="28"/>
  <c r="AA3" i="28"/>
  <c r="AC3" i="28"/>
  <c r="AA4" i="28"/>
  <c r="AC4" i="28"/>
  <c r="AA5" i="28"/>
  <c r="AC5" i="28"/>
  <c r="AA6" i="28"/>
  <c r="AC6" i="28"/>
  <c r="AA7" i="28"/>
  <c r="AC7" i="28"/>
  <c r="AA8" i="28"/>
  <c r="AC8" i="28"/>
  <c r="AA9" i="28"/>
  <c r="AC9" i="28"/>
  <c r="S10" i="28"/>
  <c r="AA10" i="28"/>
  <c r="AC10" i="28"/>
  <c r="AA11" i="28"/>
  <c r="AC11" i="28"/>
  <c r="AA12" i="28"/>
  <c r="AC12" i="28"/>
  <c r="AA13" i="28"/>
  <c r="AC13" i="28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E21" i="28" s="1"/>
  <c r="AA22" i="28"/>
  <c r="AB22" i="28"/>
  <c r="AB23" i="28" s="1"/>
  <c r="AC22" i="28"/>
  <c r="AA23" i="28"/>
  <c r="AC23" i="28"/>
  <c r="AA24" i="28"/>
  <c r="AC24" i="28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B51" i="28" s="1"/>
  <c r="AC51" i="28"/>
  <c r="AA52" i="28"/>
  <c r="AC52" i="28"/>
  <c r="AA53" i="28"/>
  <c r="AC53" i="28"/>
  <c r="AA54" i="28"/>
  <c r="AC54" i="28"/>
  <c r="AA55" i="28"/>
  <c r="AC55" i="28"/>
  <c r="AA56" i="28"/>
  <c r="AC56" i="28"/>
  <c r="AA57" i="28"/>
  <c r="AC57" i="28"/>
  <c r="AF57" i="28" s="1"/>
  <c r="AA58" i="28"/>
  <c r="AC58" i="28"/>
  <c r="AA59" i="28"/>
  <c r="AC59" i="28"/>
  <c r="AA60" i="28"/>
  <c r="AC60" i="28"/>
  <c r="AE60" i="28" s="1"/>
  <c r="AA61" i="28"/>
  <c r="AC61" i="28"/>
  <c r="AA62" i="28"/>
  <c r="AC62" i="28"/>
  <c r="AA63" i="28"/>
  <c r="AC63" i="28"/>
  <c r="AA64" i="28"/>
  <c r="AC64" i="28"/>
  <c r="AE64" i="28" s="1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F84" i="28" s="1"/>
  <c r="AA82" i="28"/>
  <c r="AC82" i="28"/>
  <c r="AA83" i="28"/>
  <c r="AC83" i="28"/>
  <c r="I2" i="27"/>
  <c r="I3" i="27" s="1"/>
  <c r="I4" i="27" s="1"/>
  <c r="J2" i="27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M84" i="27" s="1"/>
  <c r="M85" i="27" s="1"/>
  <c r="N2" i="27"/>
  <c r="N3" i="27" s="1"/>
  <c r="N4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R2" i="27"/>
  <c r="S2" i="27"/>
  <c r="T2" i="27"/>
  <c r="U2" i="27"/>
  <c r="U3" i="27" s="1"/>
  <c r="V2" i="27"/>
  <c r="V3" i="27" s="1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X3" i="27" s="1"/>
  <c r="X4" i="27" s="1"/>
  <c r="X5" i="27" s="1"/>
  <c r="X6" i="27" s="1"/>
  <c r="X7" i="27" s="1"/>
  <c r="Y2" i="27"/>
  <c r="Y3" i="27" s="1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Y84" i="27" s="1"/>
  <c r="Y85" i="27" s="1"/>
  <c r="Z2" i="27"/>
  <c r="AA2" i="27"/>
  <c r="AB2" i="27" s="1"/>
  <c r="AC2" i="27"/>
  <c r="AD2" i="27" s="1"/>
  <c r="P3" i="27"/>
  <c r="P4" i="27" s="1"/>
  <c r="P5" i="27" s="1"/>
  <c r="Q3" i="27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Q84" i="27" s="1"/>
  <c r="Q85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S84" i="27" s="1"/>
  <c r="S85" i="27" s="1"/>
  <c r="T3" i="27"/>
  <c r="T4" i="27" s="1"/>
  <c r="T5" i="27" s="1"/>
  <c r="T6" i="27" s="1"/>
  <c r="T7" i="27" s="1"/>
  <c r="T8" i="27" s="1"/>
  <c r="AA3" i="27"/>
  <c r="AC3" i="27"/>
  <c r="AA4" i="27"/>
  <c r="AC4" i="27"/>
  <c r="I5" i="27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I84" i="27" s="1"/>
  <c r="I85" i="27" s="1"/>
  <c r="N5" i="27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N84" i="27" s="1"/>
  <c r="N85" i="27" s="1"/>
  <c r="AA5" i="27"/>
  <c r="AC5" i="27"/>
  <c r="AA6" i="27"/>
  <c r="AC6" i="27"/>
  <c r="AA7" i="27"/>
  <c r="AC7" i="27"/>
  <c r="AA8" i="27"/>
  <c r="AC8" i="27"/>
  <c r="AF15" i="27" s="1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F25" i="27" s="1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A27" i="27"/>
  <c r="AC27" i="27"/>
  <c r="AA28" i="27"/>
  <c r="AC28" i="27"/>
  <c r="AA29" i="27"/>
  <c r="AC29" i="27"/>
  <c r="AA30" i="27"/>
  <c r="AC30" i="27"/>
  <c r="AD30" i="27" s="1"/>
  <c r="AA31" i="27"/>
  <c r="AC31" i="27"/>
  <c r="AA32" i="27"/>
  <c r="AC32" i="27"/>
  <c r="AA33" i="27"/>
  <c r="AC33" i="27"/>
  <c r="AA34" i="27"/>
  <c r="AC34" i="27"/>
  <c r="AE41" i="27" s="1"/>
  <c r="AA35" i="27"/>
  <c r="AC35" i="27"/>
  <c r="AE43" i="27" s="1"/>
  <c r="AA36" i="27"/>
  <c r="AC36" i="27"/>
  <c r="AA37" i="27"/>
  <c r="AC37" i="27"/>
  <c r="AA38" i="27"/>
  <c r="AC38" i="27"/>
  <c r="AE38" i="27" s="1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F44" i="27" s="1"/>
  <c r="AA45" i="27"/>
  <c r="AC45" i="27"/>
  <c r="AA46" i="27"/>
  <c r="AC46" i="27"/>
  <c r="AA47" i="27"/>
  <c r="AB47" i="27" s="1"/>
  <c r="AC47" i="27"/>
  <c r="AA48" i="27"/>
  <c r="AB48" i="27" s="1"/>
  <c r="AC48" i="27"/>
  <c r="AA49" i="27"/>
  <c r="AC49" i="27"/>
  <c r="AA50" i="27"/>
  <c r="AC50" i="27"/>
  <c r="AA51" i="27"/>
  <c r="AC51" i="27"/>
  <c r="AF51" i="27" s="1"/>
  <c r="AA52" i="27"/>
  <c r="AC52" i="27"/>
  <c r="AA53" i="27"/>
  <c r="AB53" i="27" s="1"/>
  <c r="AC53" i="27"/>
  <c r="AA54" i="27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/>
  <c r="AC76" i="27"/>
  <c r="AA77" i="27"/>
  <c r="AC77" i="27"/>
  <c r="AA78" i="27"/>
  <c r="AC78" i="27"/>
  <c r="AA79" i="27"/>
  <c r="AC79" i="27"/>
  <c r="AA80" i="27"/>
  <c r="AB80" i="27"/>
  <c r="AC80" i="27"/>
  <c r="AA81" i="27"/>
  <c r="AB81" i="27" s="1"/>
  <c r="AC81" i="27"/>
  <c r="AA82" i="27"/>
  <c r="AC82" i="27"/>
  <c r="AA83" i="27"/>
  <c r="AB83" i="27" s="1"/>
  <c r="AC83" i="27"/>
  <c r="I2" i="26"/>
  <c r="J2" i="26"/>
  <c r="K2" i="26"/>
  <c r="K3" i="26" s="1"/>
  <c r="L2" i="26"/>
  <c r="M2" i="26"/>
  <c r="N2" i="26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O84" i="26" s="1"/>
  <c r="O85" i="26" s="1"/>
  <c r="P2" i="26"/>
  <c r="P3" i="26" s="1"/>
  <c r="P4" i="26" s="1"/>
  <c r="P5" i="26" s="1"/>
  <c r="P6" i="26" s="1"/>
  <c r="P7" i="26" s="1"/>
  <c r="P8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Y84" i="26" s="1"/>
  <c r="Y85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I84" i="26" s="1"/>
  <c r="I85" i="26" s="1"/>
  <c r="J3" i="26"/>
  <c r="L3" i="26"/>
  <c r="M3" i="26"/>
  <c r="N3" i="26"/>
  <c r="N4" i="26" s="1"/>
  <c r="N5" i="26" s="1"/>
  <c r="N6" i="26" s="1"/>
  <c r="N7" i="26" s="1"/>
  <c r="N8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Z84" i="26" s="1"/>
  <c r="Z85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J84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L4" i="26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4" i="26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M84" i="26" s="1"/>
  <c r="AA4" i="26"/>
  <c r="AC4" i="26"/>
  <c r="AA5" i="26"/>
  <c r="AC5" i="26"/>
  <c r="AA6" i="26"/>
  <c r="AC6" i="26"/>
  <c r="AA7" i="26"/>
  <c r="AC7" i="26"/>
  <c r="AA8" i="26"/>
  <c r="AC8" i="26"/>
  <c r="AD17" i="26" s="1"/>
  <c r="AA9" i="26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F19" i="26" s="1"/>
  <c r="AA20" i="26"/>
  <c r="AC20" i="26"/>
  <c r="AA21" i="26"/>
  <c r="AC21" i="26"/>
  <c r="AA22" i="26"/>
  <c r="AC22" i="26"/>
  <c r="AA23" i="26"/>
  <c r="AC23" i="26"/>
  <c r="AA24" i="26"/>
  <c r="AC24" i="26"/>
  <c r="AA25" i="26"/>
  <c r="AC25" i="26"/>
  <c r="AD25" i="26" s="1"/>
  <c r="AA26" i="26"/>
  <c r="AC26" i="26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C35" i="26"/>
  <c r="AA36" i="26"/>
  <c r="AC36" i="26"/>
  <c r="AA37" i="26"/>
  <c r="AC37" i="26"/>
  <c r="AA38" i="26"/>
  <c r="AC38" i="26"/>
  <c r="AA39" i="26"/>
  <c r="AC39" i="26"/>
  <c r="AA40" i="26"/>
  <c r="AC40" i="26"/>
  <c r="AE40" i="26" s="1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B52" i="26" s="1"/>
  <c r="AC52" i="26"/>
  <c r="AA53" i="26"/>
  <c r="AC53" i="26"/>
  <c r="AA54" i="26"/>
  <c r="AC54" i="26"/>
  <c r="AA55" i="26"/>
  <c r="AC55" i="26"/>
  <c r="AA56" i="26"/>
  <c r="AC56" i="26"/>
  <c r="AA57" i="26"/>
  <c r="AC57" i="26"/>
  <c r="AA58" i="26"/>
  <c r="AC58" i="26"/>
  <c r="AA59" i="26"/>
  <c r="AC59" i="26"/>
  <c r="AA60" i="26"/>
  <c r="AC60" i="26"/>
  <c r="AA61" i="26"/>
  <c r="AC61" i="26"/>
  <c r="AA62" i="26"/>
  <c r="AC62" i="26"/>
  <c r="AA63" i="26"/>
  <c r="AC63" i="26"/>
  <c r="AA64" i="26"/>
  <c r="AB64" i="26" s="1"/>
  <c r="AC64" i="26"/>
  <c r="AA65" i="26"/>
  <c r="AC65" i="26"/>
  <c r="AA66" i="26"/>
  <c r="AB66" i="26" s="1"/>
  <c r="AC66" i="26"/>
  <c r="AA67" i="26"/>
  <c r="AB67" i="26" s="1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F76" i="26" s="1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I2" i="25"/>
  <c r="J2" i="25"/>
  <c r="J3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K84" i="25" s="1"/>
  <c r="K85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O2" i="25"/>
  <c r="P2" i="25"/>
  <c r="P3" i="25" s="1"/>
  <c r="Q2" i="25"/>
  <c r="R2" i="25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X84" i="25" s="1"/>
  <c r="X85" i="25" s="1"/>
  <c r="Y2" i="25"/>
  <c r="Y3" i="25" s="1"/>
  <c r="Z2" i="25"/>
  <c r="AA2" i="25"/>
  <c r="AB2" i="25" s="1"/>
  <c r="AC2" i="25"/>
  <c r="AF2" i="25" s="1"/>
  <c r="I3" i="25"/>
  <c r="O3" i="25"/>
  <c r="O4" i="25" s="1"/>
  <c r="AA3" i="25"/>
  <c r="AC3" i="25"/>
  <c r="I4" i="25"/>
  <c r="J4" i="25"/>
  <c r="AA4" i="25"/>
  <c r="AC4" i="25"/>
  <c r="I5" i="25"/>
  <c r="O5" i="25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O84" i="25" s="1"/>
  <c r="O85" i="25" s="1"/>
  <c r="AA5" i="25"/>
  <c r="AC5" i="25"/>
  <c r="AA6" i="25"/>
  <c r="AC6" i="25"/>
  <c r="AA7" i="25"/>
  <c r="AC7" i="25"/>
  <c r="AA8" i="25"/>
  <c r="AC8" i="25"/>
  <c r="AA9" i="25"/>
  <c r="AC9" i="25"/>
  <c r="AA10" i="25"/>
  <c r="AB10" i="25"/>
  <c r="AC10" i="25"/>
  <c r="AA11" i="25"/>
  <c r="AB11" i="25" s="1"/>
  <c r="AC11" i="25"/>
  <c r="L12" i="25"/>
  <c r="AA12" i="25"/>
  <c r="AC12" i="25"/>
  <c r="AA13" i="25"/>
  <c r="AC13" i="25"/>
  <c r="AA14" i="25"/>
  <c r="AC14" i="25"/>
  <c r="N15" i="25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N84" i="25" s="1"/>
  <c r="N85" i="25" s="1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F43" i="25" s="1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B41" i="25" s="1"/>
  <c r="AC41" i="25"/>
  <c r="AA42" i="25"/>
  <c r="AC42" i="25"/>
  <c r="AA43" i="25"/>
  <c r="AC43" i="25"/>
  <c r="AA44" i="25"/>
  <c r="AC44" i="25"/>
  <c r="AD44" i="25" s="1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A54" i="25"/>
  <c r="AC54" i="25"/>
  <c r="AA55" i="25"/>
  <c r="AB55" i="25" s="1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B75" i="25" s="1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K84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L84" i="24" s="1"/>
  <c r="M2" i="24"/>
  <c r="N2" i="24"/>
  <c r="N3" i="24" s="1"/>
  <c r="O2" i="24"/>
  <c r="P2" i="24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T84" i="24" s="1"/>
  <c r="T85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U84" i="24" s="1"/>
  <c r="U85" i="24" s="1"/>
  <c r="V2" i="24"/>
  <c r="V3" i="24" s="1"/>
  <c r="V4" i="24" s="1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V84" i="24" s="1"/>
  <c r="V85" i="24" s="1"/>
  <c r="W2" i="24"/>
  <c r="X2" i="24"/>
  <c r="X3" i="24" s="1"/>
  <c r="X4" i="24" s="1"/>
  <c r="X5" i="24" s="1"/>
  <c r="X6" i="24" s="1"/>
  <c r="X7" i="24" s="1"/>
  <c r="X8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Y84" i="24" s="1"/>
  <c r="Y85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Z84" i="24" s="1"/>
  <c r="Z85" i="24" s="1"/>
  <c r="AA2" i="24"/>
  <c r="AB2" i="24" s="1"/>
  <c r="AC2" i="24"/>
  <c r="AE2" i="24" s="1"/>
  <c r="J3" i="24"/>
  <c r="J4" i="24" s="1"/>
  <c r="J5" i="24" s="1"/>
  <c r="O3" i="24"/>
  <c r="P3" i="24"/>
  <c r="Q3" i="24"/>
  <c r="R3" i="24"/>
  <c r="AA3" i="24"/>
  <c r="AC3" i="24"/>
  <c r="R4" i="24"/>
  <c r="AA4" i="24"/>
  <c r="AC4" i="24"/>
  <c r="R5" i="24"/>
  <c r="R6" i="24" s="1"/>
  <c r="R7" i="24" s="1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C17" i="24"/>
  <c r="AA18" i="24"/>
  <c r="AC18" i="24"/>
  <c r="AD18" i="24" s="1"/>
  <c r="AA19" i="24"/>
  <c r="AC19" i="24"/>
  <c r="AF19" i="24" s="1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D50" i="24" s="1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B60" i="24" s="1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A79" i="24"/>
  <c r="AC79" i="24"/>
  <c r="AE79" i="24"/>
  <c r="AA80" i="24"/>
  <c r="AC80" i="24"/>
  <c r="AA81" i="24"/>
  <c r="AC81" i="24"/>
  <c r="AA82" i="24"/>
  <c r="AC82" i="24"/>
  <c r="AA83" i="24"/>
  <c r="AC83" i="24"/>
  <c r="AE83" i="2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J84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O2" i="23"/>
  <c r="P2" i="23"/>
  <c r="P3" i="23" s="1"/>
  <c r="P4" i="23" s="1"/>
  <c r="Q2" i="23"/>
  <c r="Q3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R84" i="23" s="1"/>
  <c r="R85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U84" i="23" s="1"/>
  <c r="U85" i="23" s="1"/>
  <c r="V2" i="23"/>
  <c r="V3" i="23" s="1"/>
  <c r="V4" i="23" s="1"/>
  <c r="V5" i="23" s="1"/>
  <c r="V6" i="23" s="1"/>
  <c r="V7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Z84" i="23" s="1"/>
  <c r="Z85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I84" i="23" s="1"/>
  <c r="I85" i="23" s="1"/>
  <c r="N3" i="23"/>
  <c r="O3" i="23"/>
  <c r="AA3" i="23"/>
  <c r="AC3" i="23"/>
  <c r="O4" i="23"/>
  <c r="O5" i="23" s="1"/>
  <c r="O6" i="23" s="1"/>
  <c r="O7" i="23" s="1"/>
  <c r="O8" i="23" s="1"/>
  <c r="Q4" i="23"/>
  <c r="Q5" i="23" s="1"/>
  <c r="AA4" i="23"/>
  <c r="AB4" i="23" s="1"/>
  <c r="AC4" i="23"/>
  <c r="P5" i="23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P84" i="23" s="1"/>
  <c r="P85" i="23" s="1"/>
  <c r="AA5" i="23"/>
  <c r="AC5" i="23"/>
  <c r="AA6" i="23"/>
  <c r="AC6" i="23"/>
  <c r="AA7" i="23"/>
  <c r="AC7" i="23"/>
  <c r="V8" i="23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V84" i="23" s="1"/>
  <c r="V85" i="23" s="1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A26" i="23"/>
  <c r="AC26" i="23"/>
  <c r="AE35" i="23" s="1"/>
  <c r="AA27" i="23"/>
  <c r="AC27" i="23"/>
  <c r="AA28" i="23"/>
  <c r="AC28" i="23"/>
  <c r="AA29" i="23"/>
  <c r="AC29" i="23"/>
  <c r="AA30" i="23"/>
  <c r="AC30" i="23"/>
  <c r="AA31" i="23"/>
  <c r="AC31" i="23"/>
  <c r="AA32" i="23"/>
  <c r="AC32" i="23"/>
  <c r="AA33" i="23"/>
  <c r="AC33" i="23"/>
  <c r="AA34" i="23"/>
  <c r="AC34" i="23"/>
  <c r="AA35" i="23"/>
  <c r="AC35" i="23"/>
  <c r="AA36" i="23"/>
  <c r="AC36" i="23"/>
  <c r="AA37" i="23"/>
  <c r="AB37" i="23" s="1"/>
  <c r="AC37" i="23"/>
  <c r="AD37" i="23" s="1"/>
  <c r="AA38" i="23"/>
  <c r="AC38" i="23"/>
  <c r="AA39" i="23"/>
  <c r="AC39" i="23"/>
  <c r="AA40" i="23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C54" i="23"/>
  <c r="AA55" i="23"/>
  <c r="AC55" i="23"/>
  <c r="AF55" i="23" s="1"/>
  <c r="AA56" i="23"/>
  <c r="AC56" i="23"/>
  <c r="AA57" i="23"/>
  <c r="AC57" i="23"/>
  <c r="AA58" i="23"/>
  <c r="AB59" i="23" s="1"/>
  <c r="AC58" i="23"/>
  <c r="AA59" i="23"/>
  <c r="AC59" i="23"/>
  <c r="AA60" i="23"/>
  <c r="AC60" i="23"/>
  <c r="AD60" i="23" s="1"/>
  <c r="AA61" i="23"/>
  <c r="AC61" i="23"/>
  <c r="AA62" i="23"/>
  <c r="AC62" i="23"/>
  <c r="AA63" i="23"/>
  <c r="AC63" i="23"/>
  <c r="AA64" i="23"/>
  <c r="AC64" i="23"/>
  <c r="AE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E84" i="23" s="1"/>
  <c r="AA79" i="23"/>
  <c r="AC79" i="23"/>
  <c r="AA80" i="23"/>
  <c r="AC80" i="23"/>
  <c r="AA81" i="23"/>
  <c r="AC81" i="23"/>
  <c r="AA82" i="23"/>
  <c r="AC82" i="23"/>
  <c r="AA83" i="23"/>
  <c r="AC83" i="23"/>
  <c r="I2" i="22"/>
  <c r="J2" i="22"/>
  <c r="K2" i="22"/>
  <c r="L2" i="22"/>
  <c r="L3" i="22" s="1"/>
  <c r="M2" i="22"/>
  <c r="N2" i="22"/>
  <c r="O2" i="22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V2" i="22"/>
  <c r="W2" i="22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Y84" i="22" s="1"/>
  <c r="Y85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Z84" i="22" s="1"/>
  <c r="Z85" i="22" s="1"/>
  <c r="AA2" i="22"/>
  <c r="AB2" i="22" s="1"/>
  <c r="AC2" i="22"/>
  <c r="AD2" i="22" s="1"/>
  <c r="U3" i="22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U84" i="22" s="1"/>
  <c r="U85" i="22" s="1"/>
  <c r="V3" i="22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3" i="22"/>
  <c r="W4" i="22" s="1"/>
  <c r="W5" i="22" s="1"/>
  <c r="W6" i="22" s="1"/>
  <c r="W7" i="22" s="1"/>
  <c r="W8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B9" i="22" s="1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A43" i="22"/>
  <c r="AC43" i="22"/>
  <c r="AA44" i="22"/>
  <c r="AC44" i="22"/>
  <c r="AA45" i="22"/>
  <c r="AC45" i="22"/>
  <c r="AA46" i="22"/>
  <c r="AC46" i="22"/>
  <c r="AF46" i="22" s="1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A54" i="22"/>
  <c r="AC54" i="22"/>
  <c r="AA55" i="22"/>
  <c r="AC55" i="22"/>
  <c r="AA56" i="22"/>
  <c r="AC56" i="22"/>
  <c r="AA57" i="22"/>
  <c r="AC57" i="22"/>
  <c r="AA58" i="22"/>
  <c r="AC58" i="22"/>
  <c r="AA59" i="22"/>
  <c r="AC59" i="22"/>
  <c r="AE67" i="22" s="1"/>
  <c r="AA60" i="22"/>
  <c r="AC60" i="22"/>
  <c r="AA61" i="22"/>
  <c r="AC61" i="22"/>
  <c r="AA62" i="22"/>
  <c r="AC62" i="22"/>
  <c r="AA63" i="22"/>
  <c r="AC63" i="22"/>
  <c r="AA64" i="22"/>
  <c r="AC64" i="22"/>
  <c r="AA65" i="22"/>
  <c r="AC65" i="22"/>
  <c r="AA66" i="22"/>
  <c r="AC66" i="22"/>
  <c r="AA67" i="22"/>
  <c r="AC67" i="22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I2" i="21"/>
  <c r="I3" i="21" s="1"/>
  <c r="I4" i="21" s="1"/>
  <c r="I5" i="21" s="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I84" i="21" s="1"/>
  <c r="I85" i="21" s="1"/>
  <c r="I86" i="21" s="1"/>
  <c r="J2" i="21"/>
  <c r="K2" i="21"/>
  <c r="K3" i="21" s="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K84" i="21" s="1"/>
  <c r="L2" i="21"/>
  <c r="L3" i="21" s="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O4" i="21" s="1"/>
  <c r="O5" i="21" s="1"/>
  <c r="O6" i="21" s="1"/>
  <c r="O7" i="21" s="1"/>
  <c r="O8" i="21" s="1"/>
  <c r="P2" i="21"/>
  <c r="P3" i="21" s="1"/>
  <c r="P4" i="21" s="1"/>
  <c r="Q2" i="21"/>
  <c r="Q3" i="21" s="1"/>
  <c r="Q4" i="21" s="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Q84" i="21" s="1"/>
  <c r="Q85" i="21" s="1"/>
  <c r="R2" i="21"/>
  <c r="S2" i="21"/>
  <c r="T2" i="21"/>
  <c r="U2" i="21"/>
  <c r="V2" i="21"/>
  <c r="V3" i="21" s="1"/>
  <c r="V4" i="21" s="1"/>
  <c r="W2" i="21"/>
  <c r="X2" i="21"/>
  <c r="X3" i="21" s="1"/>
  <c r="X4" i="21" s="1"/>
  <c r="X5" i="21" s="1"/>
  <c r="X6" i="21" s="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X84" i="21" s="1"/>
  <c r="X8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AA2" i="21"/>
  <c r="AC2" i="21"/>
  <c r="AD2" i="21" s="1"/>
  <c r="J3" i="21"/>
  <c r="AA3" i="21"/>
  <c r="AC3" i="21"/>
  <c r="N4" i="21"/>
  <c r="N5" i="21" s="1"/>
  <c r="N6" i="21" s="1"/>
  <c r="N7" i="21" s="1"/>
  <c r="N8" i="21" s="1"/>
  <c r="AA4" i="21"/>
  <c r="AC4" i="21"/>
  <c r="AA5" i="21"/>
  <c r="AC5" i="2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A43" i="21"/>
  <c r="AC43" i="21"/>
  <c r="AA44" i="21"/>
  <c r="AC44" i="21"/>
  <c r="AA45" i="21"/>
  <c r="AC45" i="21"/>
  <c r="AA46" i="21"/>
  <c r="AC46" i="21"/>
  <c r="AA47" i="21"/>
  <c r="AC47" i="21"/>
  <c r="AD53" i="21" s="1"/>
  <c r="AA48" i="21"/>
  <c r="AC48" i="21"/>
  <c r="AA49" i="21"/>
  <c r="AC49" i="21"/>
  <c r="AD49" i="21"/>
  <c r="AA50" i="21"/>
  <c r="AC50" i="21"/>
  <c r="AA51" i="21"/>
  <c r="AC51" i="21"/>
  <c r="AA52" i="21"/>
  <c r="AC52" i="21"/>
  <c r="AA53" i="21"/>
  <c r="AC53" i="21"/>
  <c r="AA54" i="21"/>
  <c r="AC54" i="21"/>
  <c r="AE54" i="21"/>
  <c r="AA55" i="21"/>
  <c r="AC55" i="21"/>
  <c r="AA56" i="21"/>
  <c r="AC56" i="21"/>
  <c r="AD64" i="21" s="1"/>
  <c r="AA57" i="21"/>
  <c r="AC57" i="21"/>
  <c r="AA58" i="21"/>
  <c r="AC58" i="21"/>
  <c r="AA59" i="21"/>
  <c r="AC59" i="21"/>
  <c r="AA60" i="21"/>
  <c r="AC60" i="21"/>
  <c r="AA61" i="21"/>
  <c r="AC61" i="21"/>
  <c r="AE61" i="21" s="1"/>
  <c r="AA62" i="21"/>
  <c r="AC62" i="21"/>
  <c r="AA63" i="21"/>
  <c r="AC63" i="21"/>
  <c r="AA64" i="21"/>
  <c r="AC64" i="21"/>
  <c r="AA65" i="21"/>
  <c r="AC65" i="21"/>
  <c r="AA66" i="21"/>
  <c r="AC66" i="21"/>
  <c r="AD66" i="21" s="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D84" i="21" s="1"/>
  <c r="AA76" i="21"/>
  <c r="AC76" i="21"/>
  <c r="AA77" i="21"/>
  <c r="AB77" i="21" s="1"/>
  <c r="AC77" i="21"/>
  <c r="AA78" i="21"/>
  <c r="AC78" i="21"/>
  <c r="AA79" i="21"/>
  <c r="AC79" i="21"/>
  <c r="AA80" i="21"/>
  <c r="AC80" i="21"/>
  <c r="AA81" i="21"/>
  <c r="AC81" i="21"/>
  <c r="AD85" i="21" s="1"/>
  <c r="AA82" i="21"/>
  <c r="AC82" i="21"/>
  <c r="AA83" i="21"/>
  <c r="AC83" i="21"/>
  <c r="I2" i="20"/>
  <c r="J2" i="20"/>
  <c r="K2" i="20"/>
  <c r="K3" i="20" s="1"/>
  <c r="K4" i="20" s="1"/>
  <c r="L2" i="20"/>
  <c r="M2" i="20"/>
  <c r="N2" i="20"/>
  <c r="N3" i="20" s="1"/>
  <c r="O2" i="20"/>
  <c r="P2" i="20"/>
  <c r="Q2" i="20"/>
  <c r="Q3" i="20" s="1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R2" i="20"/>
  <c r="R3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T84" i="20" s="1"/>
  <c r="T85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U84" i="20" s="1"/>
  <c r="U85" i="20" s="1"/>
  <c r="V2" i="20"/>
  <c r="V3" i="20" s="1"/>
  <c r="V4" i="20" s="1"/>
  <c r="V5" i="20" s="1"/>
  <c r="W2" i="20"/>
  <c r="X2" i="20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Z84" i="20" s="1"/>
  <c r="Z85" i="20" s="1"/>
  <c r="AA2" i="20"/>
  <c r="AB2" i="20" s="1"/>
  <c r="AC2" i="20"/>
  <c r="I3" i="20"/>
  <c r="J3" i="20"/>
  <c r="AA3" i="20"/>
  <c r="AC3" i="20"/>
  <c r="I4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K84" i="20" s="1"/>
  <c r="K85" i="20" s="1"/>
  <c r="K86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B23" i="20" s="1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F57" i="20" s="1"/>
  <c r="AA50" i="20"/>
  <c r="AC50" i="20"/>
  <c r="AA51" i="20"/>
  <c r="AC51" i="20"/>
  <c r="AE59" i="20" s="1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A58" i="20"/>
  <c r="AC58" i="20"/>
  <c r="AF58" i="20" s="1"/>
  <c r="AA59" i="20"/>
  <c r="AC59" i="20"/>
  <c r="AA60" i="20"/>
  <c r="AC60" i="20"/>
  <c r="AA61" i="20"/>
  <c r="AB61" i="20" s="1"/>
  <c r="AC61" i="20"/>
  <c r="AA62" i="20"/>
  <c r="AC62" i="20"/>
  <c r="AA63" i="20"/>
  <c r="AB63" i="20" s="1"/>
  <c r="AC63" i="20"/>
  <c r="AA64" i="20"/>
  <c r="AB64" i="20" s="1"/>
  <c r="AC64" i="20"/>
  <c r="AA65" i="20"/>
  <c r="AC65" i="20"/>
  <c r="AA66" i="20"/>
  <c r="AC66" i="20"/>
  <c r="AA67" i="20"/>
  <c r="AC67" i="20"/>
  <c r="AA68" i="20"/>
  <c r="AC68" i="20"/>
  <c r="AA69" i="20"/>
  <c r="AC69" i="20"/>
  <c r="AA70" i="20"/>
  <c r="AC70" i="20"/>
  <c r="AA71" i="20"/>
  <c r="AB71" i="20" s="1"/>
  <c r="AC71" i="20"/>
  <c r="AA72" i="20"/>
  <c r="AC72" i="20"/>
  <c r="AA73" i="20"/>
  <c r="AC73" i="20"/>
  <c r="AA74" i="20"/>
  <c r="AC74" i="20"/>
  <c r="AA75" i="20"/>
  <c r="AC75" i="20"/>
  <c r="AE84" i="20" s="1"/>
  <c r="AA76" i="20"/>
  <c r="AC76" i="20"/>
  <c r="AA77" i="20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I2" i="19"/>
  <c r="J2" i="19"/>
  <c r="J3" i="19" s="1"/>
  <c r="J4" i="19" s="1"/>
  <c r="J5" i="19" s="1"/>
  <c r="J6" i="19" s="1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J84" i="19" s="1"/>
  <c r="K2" i="19"/>
  <c r="K3" i="19" s="1"/>
  <c r="K4" i="19" s="1"/>
  <c r="L2" i="19"/>
  <c r="M2" i="19"/>
  <c r="N2" i="19"/>
  <c r="N3" i="19" s="1"/>
  <c r="N4" i="19" s="1"/>
  <c r="O2" i="19"/>
  <c r="P2" i="19"/>
  <c r="P3" i="19" s="1"/>
  <c r="Q2" i="19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S3" i="19" s="1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S84" i="19" s="1"/>
  <c r="S85" i="19" s="1"/>
  <c r="T2" i="19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U84" i="19" s="1"/>
  <c r="U85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V84" i="19" s="1"/>
  <c r="V85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W84" i="19" s="1"/>
  <c r="W85" i="19" s="1"/>
  <c r="X2" i="19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I3" i="19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I84" i="19" s="1"/>
  <c r="X3" i="19"/>
  <c r="X4" i="19" s="1"/>
  <c r="AA3" i="19"/>
  <c r="AB3" i="19" s="1"/>
  <c r="AC3" i="19"/>
  <c r="AA4" i="19"/>
  <c r="AC4" i="19"/>
  <c r="K5" i="19"/>
  <c r="AA5" i="19"/>
  <c r="AC5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B16" i="19" s="1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E29" i="19" s="1"/>
  <c r="AA22" i="19"/>
  <c r="AC22" i="19"/>
  <c r="AA23" i="19"/>
  <c r="AC23" i="19"/>
  <c r="AA24" i="19"/>
  <c r="AC24" i="19"/>
  <c r="AA25" i="19"/>
  <c r="AC25" i="19"/>
  <c r="AA26" i="19"/>
  <c r="AC26" i="19"/>
  <c r="AA27" i="19"/>
  <c r="AC27" i="19"/>
  <c r="AA28" i="19"/>
  <c r="AC28" i="19"/>
  <c r="AA29" i="19"/>
  <c r="AC29" i="19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A36" i="19"/>
  <c r="AC36" i="19"/>
  <c r="AA37" i="19"/>
  <c r="AC37" i="19"/>
  <c r="AA38" i="19"/>
  <c r="AC38" i="19"/>
  <c r="AF38" i="19"/>
  <c r="AA39" i="19"/>
  <c r="AC39" i="19"/>
  <c r="AD39" i="19" s="1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A47" i="19"/>
  <c r="AC47" i="19"/>
  <c r="AA48" i="19"/>
  <c r="AC48" i="19"/>
  <c r="AD57" i="19" s="1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E60" i="19" s="1"/>
  <c r="AA55" i="19"/>
  <c r="AC55" i="19"/>
  <c r="AA56" i="19"/>
  <c r="AC56" i="19"/>
  <c r="AA57" i="19"/>
  <c r="AC57" i="19"/>
  <c r="AA58" i="19"/>
  <c r="AC58" i="19"/>
  <c r="AA59" i="19"/>
  <c r="AB59" i="19" s="1"/>
  <c r="AC59" i="19"/>
  <c r="AE59" i="19" s="1"/>
  <c r="AA60" i="19"/>
  <c r="AC60" i="19"/>
  <c r="AA61" i="19"/>
  <c r="AC61" i="19"/>
  <c r="AA62" i="19"/>
  <c r="AC62" i="19"/>
  <c r="AA63" i="19"/>
  <c r="AC63" i="19"/>
  <c r="AD72" i="19" s="1"/>
  <c r="AA64" i="19"/>
  <c r="AC64" i="19"/>
  <c r="AA65" i="19"/>
  <c r="AC65" i="19"/>
  <c r="AA66" i="19"/>
  <c r="AC66" i="19"/>
  <c r="AA67" i="19"/>
  <c r="AC67" i="19"/>
  <c r="AA68" i="19"/>
  <c r="AC68" i="19"/>
  <c r="AA69" i="19"/>
  <c r="AC69" i="19"/>
  <c r="AA70" i="19"/>
  <c r="AC70" i="19"/>
  <c r="AA71" i="19"/>
  <c r="AC71" i="19"/>
  <c r="AA72" i="19"/>
  <c r="AC72" i="19"/>
  <c r="AA73" i="19"/>
  <c r="AC73" i="19"/>
  <c r="AA74" i="19"/>
  <c r="AC74" i="19"/>
  <c r="AE82" i="19" s="1"/>
  <c r="AA75" i="19"/>
  <c r="AC75" i="19"/>
  <c r="AA76" i="19"/>
  <c r="AC76" i="19"/>
  <c r="AA77" i="19"/>
  <c r="AC77" i="19"/>
  <c r="AA78" i="19"/>
  <c r="AC78" i="19"/>
  <c r="AA79" i="19"/>
  <c r="AB79" i="19" s="1"/>
  <c r="AC79" i="19"/>
  <c r="AA80" i="19"/>
  <c r="AC80" i="19"/>
  <c r="AA81" i="19"/>
  <c r="AC81" i="19"/>
  <c r="AA82" i="19"/>
  <c r="AC82" i="19"/>
  <c r="AA83" i="19"/>
  <c r="AC83" i="19"/>
  <c r="I2" i="18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K84" i="18" s="1"/>
  <c r="L2" i="18"/>
  <c r="M2" i="18"/>
  <c r="N2" i="18"/>
  <c r="N3" i="18" s="1"/>
  <c r="O2" i="18"/>
  <c r="O3" i="18" s="1"/>
  <c r="O4" i="18" s="1"/>
  <c r="O5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Q84" i="18" s="1"/>
  <c r="Q85" i="18" s="1"/>
  <c r="R2" i="18"/>
  <c r="R3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U84" i="18" s="1"/>
  <c r="U85" i="18" s="1"/>
  <c r="V2" i="18"/>
  <c r="W2" i="18"/>
  <c r="W3" i="18" s="1"/>
  <c r="X2" i="18"/>
  <c r="Y2" i="18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Z84" i="18" s="1"/>
  <c r="Z85" i="18" s="1"/>
  <c r="AA2" i="18"/>
  <c r="AB2" i="18" s="1"/>
  <c r="AC2" i="18"/>
  <c r="AD2" i="18" s="1"/>
  <c r="I3" i="18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I84" i="18" s="1"/>
  <c r="I85" i="18" s="1"/>
  <c r="I86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J84" i="18" s="1"/>
  <c r="J85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L84" i="18" s="1"/>
  <c r="L85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N84" i="18" s="1"/>
  <c r="R4" i="18"/>
  <c r="AA4" i="18"/>
  <c r="AC4" i="18"/>
  <c r="R5" i="18"/>
  <c r="AA5" i="18"/>
  <c r="AC5" i="18"/>
  <c r="O6" i="18"/>
  <c r="O7" i="18" s="1"/>
  <c r="AA6" i="18"/>
  <c r="AC6" i="18"/>
  <c r="AA7" i="18"/>
  <c r="AC7" i="18"/>
  <c r="AA8" i="18"/>
  <c r="AC8" i="18"/>
  <c r="AA9" i="18"/>
  <c r="AB9" i="18" s="1"/>
  <c r="AC9" i="18"/>
  <c r="AA10" i="18"/>
  <c r="AB10" i="18" s="1"/>
  <c r="AC10" i="18"/>
  <c r="AA11" i="18"/>
  <c r="AC11" i="18"/>
  <c r="AA12" i="18"/>
  <c r="AC12" i="18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A19" i="18"/>
  <c r="AC19" i="18"/>
  <c r="AA20" i="18"/>
  <c r="AC20" i="18"/>
  <c r="AA21" i="18"/>
  <c r="AC21" i="18"/>
  <c r="AE21" i="18" s="1"/>
  <c r="AA22" i="18"/>
  <c r="AC22" i="18"/>
  <c r="AA23" i="18"/>
  <c r="AC23" i="18"/>
  <c r="AA24" i="18"/>
  <c r="AC24" i="18"/>
  <c r="AA25" i="18"/>
  <c r="AC25" i="18"/>
  <c r="AA26" i="18"/>
  <c r="AC26" i="18"/>
  <c r="AD26" i="18" s="1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F37" i="18" s="1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B44" i="18" s="1"/>
  <c r="AC44" i="18"/>
  <c r="AA45" i="18"/>
  <c r="AB45" i="18" s="1"/>
  <c r="AC45" i="18"/>
  <c r="AA46" i="18"/>
  <c r="AC46" i="18"/>
  <c r="AA47" i="18"/>
  <c r="AC47" i="18"/>
  <c r="AA48" i="18"/>
  <c r="AC48" i="18"/>
  <c r="AA49" i="18"/>
  <c r="AC49" i="18"/>
  <c r="AE57" i="18" s="1"/>
  <c r="AA50" i="18"/>
  <c r="AC50" i="18"/>
  <c r="AF57" i="18" s="1"/>
  <c r="AA51" i="18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A60" i="18"/>
  <c r="AC60" i="18"/>
  <c r="AA61" i="18"/>
  <c r="AC61" i="18"/>
  <c r="AA62" i="18"/>
  <c r="AC62" i="18"/>
  <c r="AA63" i="18"/>
  <c r="AC63" i="18"/>
  <c r="AA64" i="18"/>
  <c r="AC64" i="18"/>
  <c r="AA65" i="18"/>
  <c r="AC65" i="18"/>
  <c r="AA66" i="18"/>
  <c r="AC66" i="18"/>
  <c r="AE71" i="18" s="1"/>
  <c r="AA67" i="18"/>
  <c r="AC67" i="18"/>
  <c r="AD67" i="18" s="1"/>
  <c r="AA68" i="18"/>
  <c r="AC68" i="18"/>
  <c r="AD68" i="18" s="1"/>
  <c r="AA69" i="18"/>
  <c r="AC69" i="18"/>
  <c r="AA70" i="18"/>
  <c r="AC70" i="18"/>
  <c r="AA71" i="18"/>
  <c r="AC71" i="18"/>
  <c r="AD71" i="18" s="1"/>
  <c r="AA72" i="18"/>
  <c r="AC72" i="18"/>
  <c r="AA73" i="18"/>
  <c r="AC73" i="18"/>
  <c r="AA74" i="18"/>
  <c r="AC74" i="18"/>
  <c r="AA75" i="18"/>
  <c r="AC75" i="18"/>
  <c r="AD84" i="18" s="1"/>
  <c r="AA76" i="18"/>
  <c r="AC76" i="18"/>
  <c r="AF76" i="18" s="1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I2" i="17"/>
  <c r="J2" i="17"/>
  <c r="K2" i="17"/>
  <c r="K3" i="17" s="1"/>
  <c r="K4" i="17" s="1"/>
  <c r="K5" i="17" s="1"/>
  <c r="L2" i="17"/>
  <c r="L3" i="17" s="1"/>
  <c r="M2" i="17"/>
  <c r="N2" i="17"/>
  <c r="O2" i="17"/>
  <c r="P2" i="17"/>
  <c r="Q2" i="17"/>
  <c r="Q3" i="17" s="1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Q84" i="17" s="1"/>
  <c r="Q85" i="17" s="1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U84" i="17" s="1"/>
  <c r="U85" i="17" s="1"/>
  <c r="V2" i="17"/>
  <c r="V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X84" i="17" s="1"/>
  <c r="X85" i="17" s="1"/>
  <c r="Y2" i="17"/>
  <c r="Y3" i="17" s="1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Y84" i="17" s="1"/>
  <c r="Y85" i="17" s="1"/>
  <c r="Z2" i="17"/>
  <c r="Z3" i="17" s="1"/>
  <c r="Z4" i="17" s="1"/>
  <c r="AA2" i="17"/>
  <c r="AB2" i="17" s="1"/>
  <c r="AC2" i="17"/>
  <c r="AD2" i="17" s="1"/>
  <c r="I3" i="17"/>
  <c r="J3" i="17"/>
  <c r="N3" i="17"/>
  <c r="AA3" i="17"/>
  <c r="AC3" i="17"/>
  <c r="I4" i="17"/>
  <c r="I5" i="17" s="1"/>
  <c r="I6" i="17" s="1"/>
  <c r="I7" i="17" s="1"/>
  <c r="I8" i="17" s="1"/>
  <c r="I9" i="17" s="1"/>
  <c r="J4" i="17"/>
  <c r="J5" i="17" s="1"/>
  <c r="J6" i="17" s="1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L84" i="17" s="1"/>
  <c r="L85" i="17" s="1"/>
  <c r="N4" i="17"/>
  <c r="AA4" i="17"/>
  <c r="AC4" i="17"/>
  <c r="AA5" i="17"/>
  <c r="AC5" i="17"/>
  <c r="K6" i="17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F26" i="17" s="1"/>
  <c r="AA21" i="17"/>
  <c r="AC21" i="17"/>
  <c r="AA22" i="17"/>
  <c r="AC22" i="17"/>
  <c r="AA23" i="17"/>
  <c r="AC23" i="17"/>
  <c r="AA24" i="17"/>
  <c r="AC24" i="17"/>
  <c r="AA25" i="17"/>
  <c r="AC25" i="17"/>
  <c r="AD32" i="17" s="1"/>
  <c r="AA26" i="17"/>
  <c r="AC26" i="17"/>
  <c r="AA27" i="17"/>
  <c r="AC27" i="17"/>
  <c r="AA28" i="17"/>
  <c r="AC28" i="17"/>
  <c r="AA29" i="17"/>
  <c r="AB29" i="17" s="1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A36" i="17"/>
  <c r="AC36" i="17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A57" i="17"/>
  <c r="AC57" i="17"/>
  <c r="AA58" i="17"/>
  <c r="AC58" i="17"/>
  <c r="AA59" i="17"/>
  <c r="AC59" i="17"/>
  <c r="AA60" i="17"/>
  <c r="AC60" i="17"/>
  <c r="AA61" i="17"/>
  <c r="AC61" i="17"/>
  <c r="AA62" i="17"/>
  <c r="AC62" i="17"/>
  <c r="AA63" i="17"/>
  <c r="AC63" i="17"/>
  <c r="AA64" i="17"/>
  <c r="AC64" i="17"/>
  <c r="AD72" i="17" s="1"/>
  <c r="AA65" i="17"/>
  <c r="AC65" i="17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F85" i="17" s="1"/>
  <c r="AA81" i="17"/>
  <c r="AC81" i="17"/>
  <c r="AA82" i="17"/>
  <c r="AC82" i="17"/>
  <c r="AA83" i="17"/>
  <c r="AC83" i="17"/>
  <c r="I2" i="16"/>
  <c r="I3" i="16" s="1"/>
  <c r="J2" i="16"/>
  <c r="J3" i="16" s="1"/>
  <c r="K2" i="16"/>
  <c r="K3" i="16" s="1"/>
  <c r="K4" i="16" s="1"/>
  <c r="K5" i="16" s="1"/>
  <c r="K6" i="16" s="1"/>
  <c r="L2" i="16"/>
  <c r="L3" i="16" s="1"/>
  <c r="L4" i="16" s="1"/>
  <c r="L5" i="16" s="1"/>
  <c r="M2" i="16"/>
  <c r="M3" i="16" s="1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M84" i="16" s="1"/>
  <c r="N2" i="16"/>
  <c r="N3" i="16" s="1"/>
  <c r="O2" i="16"/>
  <c r="O3" i="16" s="1"/>
  <c r="O4" i="16" s="1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O84" i="16" s="1"/>
  <c r="O85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V2" i="16"/>
  <c r="V3" i="16" s="1"/>
  <c r="V4" i="16" s="1"/>
  <c r="V5" i="16" s="1"/>
  <c r="V6" i="16" s="1"/>
  <c r="W2" i="16"/>
  <c r="W3" i="16" s="1"/>
  <c r="X2" i="16"/>
  <c r="X3" i="16" s="1"/>
  <c r="X4" i="16" s="1"/>
  <c r="X5" i="16" s="1"/>
  <c r="X6" i="16" s="1"/>
  <c r="X7" i="16" s="1"/>
  <c r="X8" i="16" s="1"/>
  <c r="X9" i="16" s="1"/>
  <c r="X10" i="16" s="1"/>
  <c r="X11" i="16" s="1"/>
  <c r="Y2" i="16"/>
  <c r="Z2" i="16"/>
  <c r="AA2" i="16"/>
  <c r="AC2" i="16"/>
  <c r="AD2" i="16" s="1"/>
  <c r="AA3" i="16"/>
  <c r="AC3" i="16"/>
  <c r="AD3" i="16" s="1"/>
  <c r="N4" i="16"/>
  <c r="W4" i="16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W84" i="16" s="1"/>
  <c r="W85" i="16" s="1"/>
  <c r="AA4" i="16"/>
  <c r="AC4" i="16"/>
  <c r="U5" i="16"/>
  <c r="U6" i="16" s="1"/>
  <c r="U7" i="16" s="1"/>
  <c r="U8" i="16" s="1"/>
  <c r="U9" i="16" s="1"/>
  <c r="U10" i="16" s="1"/>
  <c r="U11" i="16" s="1"/>
  <c r="U12" i="16" s="1"/>
  <c r="AA5" i="16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A13" i="16"/>
  <c r="AC13" i="16"/>
  <c r="AA14" i="16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K84" i="15" s="1"/>
  <c r="K85" i="15" s="1"/>
  <c r="K86" i="15" s="1"/>
  <c r="L2" i="15"/>
  <c r="L3" i="15" s="1"/>
  <c r="M2" i="15"/>
  <c r="M3" i="15" s="1"/>
  <c r="N2" i="15"/>
  <c r="O2" i="15"/>
  <c r="O3" i="15" s="1"/>
  <c r="O4" i="15" s="1"/>
  <c r="O5" i="15" s="1"/>
  <c r="O6" i="15" s="1"/>
  <c r="P2" i="15"/>
  <c r="P3" i="15" s="1"/>
  <c r="P4" i="15" s="1"/>
  <c r="P5" i="15" s="1"/>
  <c r="P6" i="15" s="1"/>
  <c r="P7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W3" i="15" s="1"/>
  <c r="X2" i="15"/>
  <c r="X3" i="15" s="1"/>
  <c r="X4" i="15" s="1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Y84" i="15" s="1"/>
  <c r="Y85" i="15" s="1"/>
  <c r="Z2" i="15"/>
  <c r="Z3" i="15" s="1"/>
  <c r="AA2" i="15"/>
  <c r="AB2" i="15" s="1"/>
  <c r="AC2" i="15"/>
  <c r="AD2" i="15" s="1"/>
  <c r="N3" i="15"/>
  <c r="Q3" i="15"/>
  <c r="Q4" i="15" s="1"/>
  <c r="Q5" i="15" s="1"/>
  <c r="Q6" i="15" s="1"/>
  <c r="AA3" i="15"/>
  <c r="AC3" i="15"/>
  <c r="L4" i="15"/>
  <c r="L5" i="15" s="1"/>
  <c r="L6" i="15" s="1"/>
  <c r="L7" i="15" s="1"/>
  <c r="L8" i="15" s="1"/>
  <c r="L9" i="15" s="1"/>
  <c r="L10" i="15" s="1"/>
  <c r="M4" i="15"/>
  <c r="AA4" i="15"/>
  <c r="AC4" i="15"/>
  <c r="M5" i="15"/>
  <c r="AA5" i="15"/>
  <c r="AC5" i="15"/>
  <c r="AA6" i="15"/>
  <c r="AC6" i="15"/>
  <c r="O7" i="15"/>
  <c r="AA7" i="15"/>
  <c r="AC7" i="15"/>
  <c r="P8" i="15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C16" i="15"/>
  <c r="AF24" i="15" s="1"/>
  <c r="AA17" i="15"/>
  <c r="AC17" i="15"/>
  <c r="AA18" i="15"/>
  <c r="AC18" i="15"/>
  <c r="AA19" i="15"/>
  <c r="AC19" i="15"/>
  <c r="AA20" i="15"/>
  <c r="AC20" i="15"/>
  <c r="AA21" i="15"/>
  <c r="AC21" i="15"/>
  <c r="AA22" i="15"/>
  <c r="AC22" i="15"/>
  <c r="AA23" i="15"/>
  <c r="AC23" i="15"/>
  <c r="AA24" i="15"/>
  <c r="AC24" i="15"/>
  <c r="AA25" i="15"/>
  <c r="AC25" i="15"/>
  <c r="AA26" i="15"/>
  <c r="AC26" i="15"/>
  <c r="AA27" i="15"/>
  <c r="AC27" i="15"/>
  <c r="AD35" i="15" s="1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D41" i="15" s="1"/>
  <c r="AA34" i="15"/>
  <c r="AC34" i="15"/>
  <c r="AA35" i="15"/>
  <c r="AC35" i="15"/>
  <c r="AA36" i="15"/>
  <c r="AC36" i="15"/>
  <c r="AA37" i="15"/>
  <c r="AC37" i="15"/>
  <c r="AD37" i="15" s="1"/>
  <c r="AA38" i="15"/>
  <c r="AC38" i="15"/>
  <c r="AA39" i="15"/>
  <c r="AC39" i="15"/>
  <c r="AA40" i="15"/>
  <c r="AC40" i="15"/>
  <c r="AA41" i="15"/>
  <c r="AB41" i="15" s="1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A56" i="15"/>
  <c r="AC56" i="15"/>
  <c r="AE56" i="15" s="1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C77" i="15"/>
  <c r="AA78" i="15"/>
  <c r="AC78" i="15"/>
  <c r="AA79" i="15"/>
  <c r="AB79" i="15"/>
  <c r="AC79" i="15"/>
  <c r="AE85" i="15" s="1"/>
  <c r="AA80" i="15"/>
  <c r="AC80" i="15"/>
  <c r="AA81" i="15"/>
  <c r="AC81" i="15"/>
  <c r="AA82" i="15"/>
  <c r="AC82" i="15"/>
  <c r="AA83" i="15"/>
  <c r="AC83" i="15"/>
  <c r="I2" i="14"/>
  <c r="I3" i="14" s="1"/>
  <c r="J2" i="14"/>
  <c r="J3" i="14" s="1"/>
  <c r="J4" i="14" s="1"/>
  <c r="K2" i="14"/>
  <c r="K3" i="14" s="1"/>
  <c r="L2" i="14"/>
  <c r="M2" i="14"/>
  <c r="N2" i="14"/>
  <c r="O2" i="14"/>
  <c r="P2" i="14"/>
  <c r="Q2" i="14"/>
  <c r="R2" i="14"/>
  <c r="S2" i="14"/>
  <c r="T2" i="14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Y84" i="14" s="1"/>
  <c r="Y85" i="14" s="1"/>
  <c r="Z2" i="14"/>
  <c r="Z3" i="14" s="1"/>
  <c r="Z4" i="14" s="1"/>
  <c r="Z5" i="14" s="1"/>
  <c r="Z6" i="14" s="1"/>
  <c r="Z7" i="14" s="1"/>
  <c r="Z8" i="14" s="1"/>
  <c r="Z9" i="14" s="1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Z84" i="14" s="1"/>
  <c r="Z85" i="14" s="1"/>
  <c r="AA2" i="14"/>
  <c r="AB2" i="14" s="1"/>
  <c r="AC2" i="14"/>
  <c r="AD2" i="14" s="1"/>
  <c r="AF2" i="14"/>
  <c r="L3" i="14"/>
  <c r="M3" i="14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M84" i="14" s="1"/>
  <c r="M85" i="14" s="1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N84" i="14" s="1"/>
  <c r="N85" i="14" s="1"/>
  <c r="O3" i="14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O84" i="14" s="1"/>
  <c r="O85" i="14" s="1"/>
  <c r="Q3" i="14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Q84" i="14" s="1"/>
  <c r="Q85" i="14" s="1"/>
  <c r="R3" i="14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R84" i="14" s="1"/>
  <c r="R85" i="14" s="1"/>
  <c r="AA3" i="14"/>
  <c r="AB3" i="14" s="1"/>
  <c r="AC3" i="14"/>
  <c r="AF3" i="14" s="1"/>
  <c r="I4" i="14"/>
  <c r="AA4" i="14"/>
  <c r="AC4" i="14"/>
  <c r="I5" i="14"/>
  <c r="I6" i="14" s="1"/>
  <c r="I7" i="14" s="1"/>
  <c r="I8" i="14" s="1"/>
  <c r="I9" i="14" s="1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AA9" i="14"/>
  <c r="AC9" i="14"/>
  <c r="I10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E53" i="14" s="1"/>
  <c r="AA48" i="14"/>
  <c r="AC48" i="14"/>
  <c r="AA49" i="14"/>
  <c r="AC49" i="14"/>
  <c r="AA50" i="14"/>
  <c r="AC50" i="14"/>
  <c r="AA51" i="14"/>
  <c r="AC51" i="14"/>
  <c r="AA52" i="14"/>
  <c r="AC52" i="14"/>
  <c r="AF60" i="14" s="1"/>
  <c r="AA53" i="14"/>
  <c r="AC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E61" i="14" s="1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E76" i="14" s="1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D84" i="14" s="1"/>
  <c r="AA78" i="14"/>
  <c r="AC78" i="14"/>
  <c r="AF84" i="14" s="1"/>
  <c r="AA79" i="14"/>
  <c r="AC79" i="14"/>
  <c r="AA80" i="14"/>
  <c r="AC80" i="14"/>
  <c r="AE80" i="14"/>
  <c r="AA81" i="14"/>
  <c r="AC81" i="14"/>
  <c r="AA82" i="14"/>
  <c r="AC82" i="14"/>
  <c r="AA83" i="14"/>
  <c r="AC83" i="14"/>
  <c r="I2" i="13"/>
  <c r="I3" i="13" s="1"/>
  <c r="J2" i="13"/>
  <c r="K2" i="13"/>
  <c r="L2" i="13"/>
  <c r="L3" i="13" s="1"/>
  <c r="M2" i="13"/>
  <c r="N2" i="13"/>
  <c r="O2" i="13"/>
  <c r="P2" i="13"/>
  <c r="Q2" i="13"/>
  <c r="R2" i="13"/>
  <c r="S2" i="13"/>
  <c r="T2" i="13"/>
  <c r="U2" i="13"/>
  <c r="V2" i="13"/>
  <c r="W2" i="13"/>
  <c r="X2" i="13"/>
  <c r="X3" i="13" s="1"/>
  <c r="Y2" i="13"/>
  <c r="Z2" i="13"/>
  <c r="Z3" i="13" s="1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2" i="13"/>
  <c r="AB2" i="13" s="1"/>
  <c r="AC2" i="13"/>
  <c r="AE2" i="13" s="1"/>
  <c r="J3" i="13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J84" i="13" s="1"/>
  <c r="J85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N84" i="13" s="1"/>
  <c r="O3" i="13"/>
  <c r="O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F37" i="13" s="1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A38" i="13"/>
  <c r="AC38" i="13"/>
  <c r="AA39" i="13"/>
  <c r="AC39" i="13"/>
  <c r="AE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B45" i="13" s="1"/>
  <c r="AB46" i="13" s="1"/>
  <c r="AC45" i="13"/>
  <c r="AA46" i="13"/>
  <c r="AC46" i="13"/>
  <c r="AA47" i="13"/>
  <c r="AC47" i="13"/>
  <c r="AD55" i="13" s="1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A56" i="13"/>
  <c r="AC56" i="13"/>
  <c r="AA57" i="13"/>
  <c r="AC57" i="13"/>
  <c r="AA58" i="13"/>
  <c r="AC58" i="13"/>
  <c r="AA59" i="13"/>
  <c r="AC59" i="13"/>
  <c r="AA60" i="13"/>
  <c r="AC60" i="13"/>
  <c r="AA61" i="13"/>
  <c r="AC61" i="13"/>
  <c r="AA62" i="13"/>
  <c r="AC62" i="13"/>
  <c r="AA63" i="13"/>
  <c r="AC63" i="13"/>
  <c r="AA64" i="13"/>
  <c r="AC64" i="13"/>
  <c r="AA65" i="13"/>
  <c r="AB65" i="13" s="1"/>
  <c r="AC65" i="13"/>
  <c r="AA66" i="13"/>
  <c r="AC66" i="13"/>
  <c r="AA67" i="13"/>
  <c r="AB67" i="13" s="1"/>
  <c r="AC67" i="13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E85" i="13" s="1"/>
  <c r="AA77" i="13"/>
  <c r="AC77" i="13"/>
  <c r="AA78" i="13"/>
  <c r="AC78" i="13"/>
  <c r="AA79" i="13"/>
  <c r="AC79" i="13"/>
  <c r="AA80" i="13"/>
  <c r="AC80" i="13"/>
  <c r="AA81" i="13"/>
  <c r="AC81" i="13"/>
  <c r="AA82" i="13"/>
  <c r="AC82" i="13"/>
  <c r="AA83" i="13"/>
  <c r="AC83" i="13"/>
  <c r="I2" i="12"/>
  <c r="I3" i="12" s="1"/>
  <c r="I4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N3" i="12" s="1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N84" i="12" s="1"/>
  <c r="N85" i="12" s="1"/>
  <c r="N86" i="12" s="1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O84" i="12" s="1"/>
  <c r="O85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T2" i="12"/>
  <c r="T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U84" i="12" s="1"/>
  <c r="U85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V84" i="12" s="1"/>
  <c r="V85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W84" i="12" s="1"/>
  <c r="W85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X84" i="12" s="1"/>
  <c r="X85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M5" i="12" s="1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M84" i="12" s="1"/>
  <c r="M85" i="12" s="1"/>
  <c r="S3" i="12"/>
  <c r="S4" i="12" s="1"/>
  <c r="S5" i="12" s="1"/>
  <c r="S6" i="12" s="1"/>
  <c r="S7" i="12" s="1"/>
  <c r="S8" i="12" s="1"/>
  <c r="AA3" i="12"/>
  <c r="AC3" i="12"/>
  <c r="AA4" i="12"/>
  <c r="AC4" i="12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B35" i="12" s="1"/>
  <c r="AC35" i="12"/>
  <c r="AA36" i="12"/>
  <c r="AB36" i="12" s="1"/>
  <c r="AC36" i="12"/>
  <c r="AA37" i="12"/>
  <c r="AC37" i="12"/>
  <c r="AA38" i="12"/>
  <c r="AC38" i="12"/>
  <c r="AA39" i="12"/>
  <c r="AC39" i="12"/>
  <c r="AF39" i="12" s="1"/>
  <c r="AA40" i="12"/>
  <c r="AC40" i="12"/>
  <c r="AA41" i="12"/>
  <c r="AC41" i="12"/>
  <c r="AA42" i="12"/>
  <c r="AC42" i="12"/>
  <c r="AA43" i="12"/>
  <c r="AC43" i="12"/>
  <c r="AA44" i="12"/>
  <c r="AC44" i="12"/>
  <c r="AD44" i="12" s="1"/>
  <c r="AA45" i="12"/>
  <c r="AC45" i="12"/>
  <c r="AA46" i="12"/>
  <c r="AC46" i="12"/>
  <c r="AA47" i="12"/>
  <c r="AC47" i="12"/>
  <c r="AE47" i="12" s="1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D61" i="12" s="1"/>
  <c r="AA54" i="12"/>
  <c r="AC54" i="12"/>
  <c r="AA55" i="12"/>
  <c r="AC55" i="12"/>
  <c r="AD63" i="12" s="1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A64" i="12"/>
  <c r="AC64" i="12"/>
  <c r="AA65" i="12"/>
  <c r="AC65" i="12"/>
  <c r="AA66" i="12"/>
  <c r="AC66" i="12"/>
  <c r="AA67" i="12"/>
  <c r="AC67" i="12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I2" i="11"/>
  <c r="J2" i="11"/>
  <c r="K2" i="11"/>
  <c r="L2" i="11"/>
  <c r="L3" i="11" s="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N84" i="11" s="1"/>
  <c r="O2" i="11"/>
  <c r="O3" i="11" s="1"/>
  <c r="P2" i="11"/>
  <c r="P3" i="11" s="1"/>
  <c r="Q2" i="11"/>
  <c r="R2" i="11"/>
  <c r="S2" i="11"/>
  <c r="T2" i="11"/>
  <c r="U2" i="11"/>
  <c r="V2" i="11"/>
  <c r="W2" i="11"/>
  <c r="X2" i="11"/>
  <c r="Y2" i="11"/>
  <c r="Z2" i="1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K84" i="11" s="1"/>
  <c r="V3" i="1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V84" i="11" s="1"/>
  <c r="V85" i="11" s="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W84" i="11" s="1"/>
  <c r="W85" i="11" s="1"/>
  <c r="X3" i="1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X84" i="11" s="1"/>
  <c r="X85" i="11" s="1"/>
  <c r="Y3" i="1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Y84" i="11" s="1"/>
  <c r="Y85" i="11" s="1"/>
  <c r="Z3" i="11"/>
  <c r="Z4" i="11" s="1"/>
  <c r="Z5" i="11" s="1"/>
  <c r="Z6" i="11" s="1"/>
  <c r="AA3" i="11"/>
  <c r="AB3" i="11" s="1"/>
  <c r="AC3" i="11"/>
  <c r="AA4" i="11"/>
  <c r="AC4" i="11"/>
  <c r="AA5" i="11"/>
  <c r="AC5" i="11"/>
  <c r="AA6" i="11"/>
  <c r="AC6" i="11"/>
  <c r="AA7" i="11"/>
  <c r="AB7" i="11" s="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A27" i="11"/>
  <c r="AB27" i="11" s="1"/>
  <c r="AC27" i="11"/>
  <c r="AE27" i="11" s="1"/>
  <c r="AF27" i="11"/>
  <c r="AA28" i="11"/>
  <c r="AB28" i="11" s="1"/>
  <c r="AC28" i="11"/>
  <c r="AF35" i="11" s="1"/>
  <c r="AA29" i="11"/>
  <c r="AC29" i="11"/>
  <c r="AA30" i="11"/>
  <c r="AC30" i="11"/>
  <c r="AA31" i="11"/>
  <c r="AC31" i="11"/>
  <c r="AA32" i="11"/>
  <c r="AC32" i="11"/>
  <c r="AA33" i="11"/>
  <c r="AC33" i="11"/>
  <c r="AA34" i="11"/>
  <c r="AC34" i="11"/>
  <c r="AA35" i="11"/>
  <c r="AC35" i="11"/>
  <c r="AA36" i="11"/>
  <c r="AC36" i="11"/>
  <c r="AA37" i="11"/>
  <c r="AC37" i="11"/>
  <c r="AA38" i="11"/>
  <c r="AC38" i="11"/>
  <c r="AA39" i="11"/>
  <c r="AC39" i="11"/>
  <c r="AD46" i="11" s="1"/>
  <c r="AA40" i="11"/>
  <c r="AC40" i="11"/>
  <c r="AA41" i="11"/>
  <c r="AC41" i="11"/>
  <c r="AA42" i="11"/>
  <c r="AC42" i="11"/>
  <c r="AA43" i="11"/>
  <c r="AB43" i="11"/>
  <c r="AC43" i="11"/>
  <c r="AA44" i="11"/>
  <c r="AC44" i="11"/>
  <c r="AA45" i="11"/>
  <c r="AC45" i="11"/>
  <c r="AA46" i="11"/>
  <c r="AC46" i="11"/>
  <c r="AA47" i="11"/>
  <c r="AC47" i="11"/>
  <c r="AA48" i="11"/>
  <c r="AC48" i="1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A64" i="11"/>
  <c r="AC64" i="11"/>
  <c r="AA65" i="11"/>
  <c r="AC65" i="11"/>
  <c r="AD72" i="11" s="1"/>
  <c r="AA66" i="11"/>
  <c r="AC66" i="11"/>
  <c r="AA67" i="11"/>
  <c r="AC67" i="11"/>
  <c r="AA68" i="11"/>
  <c r="AC68" i="11"/>
  <c r="AA69" i="11"/>
  <c r="AC69" i="11"/>
  <c r="AA70" i="11"/>
  <c r="AC70" i="11"/>
  <c r="AA71" i="11"/>
  <c r="AC71" i="11"/>
  <c r="AA72" i="11"/>
  <c r="AC72" i="11"/>
  <c r="AA73" i="11"/>
  <c r="AC73" i="11"/>
  <c r="AA74" i="11"/>
  <c r="AC74" i="11"/>
  <c r="AE83" i="11" s="1"/>
  <c r="AA75" i="11"/>
  <c r="AC75" i="11"/>
  <c r="AE84" i="11" s="1"/>
  <c r="AA76" i="11"/>
  <c r="AC76" i="11"/>
  <c r="AE85" i="11" s="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M2" i="10"/>
  <c r="M3" i="10" s="1"/>
  <c r="N2" i="10"/>
  <c r="N3" i="10" s="1"/>
  <c r="N4" i="10" s="1"/>
  <c r="O2" i="10"/>
  <c r="P2" i="10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Q84" i="10" s="1"/>
  <c r="Q85" i="10" s="1"/>
  <c r="R2" i="10"/>
  <c r="S2" i="10"/>
  <c r="S3" i="10" s="1"/>
  <c r="S4" i="10" s="1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S84" i="10" s="1"/>
  <c r="S85" i="10" s="1"/>
  <c r="T2" i="10"/>
  <c r="U2" i="10"/>
  <c r="V2" i="10"/>
  <c r="V3" i="10" s="1"/>
  <c r="V4" i="10" s="1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V84" i="10" s="1"/>
  <c r="V85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Z4" i="10" s="1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AA2" i="10"/>
  <c r="AB2" i="10" s="1"/>
  <c r="AC2" i="10"/>
  <c r="O3" i="10"/>
  <c r="O4" i="10" s="1"/>
  <c r="O5" i="10" s="1"/>
  <c r="O6" i="10" s="1"/>
  <c r="AA3" i="10"/>
  <c r="AB3" i="10" s="1"/>
  <c r="AC3" i="10"/>
  <c r="I4" i="10"/>
  <c r="I5" i="10" s="1"/>
  <c r="I6" i="10" s="1"/>
  <c r="AA4" i="10"/>
  <c r="AB4" i="10" s="1"/>
  <c r="AC4" i="10"/>
  <c r="AA5" i="10"/>
  <c r="AC5" i="10"/>
  <c r="AA6" i="10"/>
  <c r="AC6" i="10"/>
  <c r="I7" i="10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B19" i="10" s="1"/>
  <c r="AC19" i="10"/>
  <c r="AA20" i="10"/>
  <c r="AB20" i="10" s="1"/>
  <c r="AC20" i="10"/>
  <c r="AA21" i="10"/>
  <c r="AC21" i="10"/>
  <c r="AA22" i="10"/>
  <c r="AC22" i="10"/>
  <c r="AA23" i="10"/>
  <c r="AC23" i="10"/>
  <c r="AA24" i="10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B31" i="10" s="1"/>
  <c r="AC31" i="10"/>
  <c r="AA32" i="10"/>
  <c r="AC32" i="10"/>
  <c r="AA33" i="10"/>
  <c r="AB33" i="10" s="1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E53" i="10" s="1"/>
  <c r="AA46" i="10"/>
  <c r="AC46" i="10"/>
  <c r="AA47" i="10"/>
  <c r="AC47" i="10"/>
  <c r="AA48" i="10"/>
  <c r="AC48" i="10"/>
  <c r="AF56" i="10" s="1"/>
  <c r="AA49" i="10"/>
  <c r="AC49" i="10"/>
  <c r="AA50" i="10"/>
  <c r="AC50" i="10"/>
  <c r="AA51" i="10"/>
  <c r="AC51" i="10"/>
  <c r="AA52" i="10"/>
  <c r="AC52" i="10"/>
  <c r="AA53" i="10"/>
  <c r="AC53" i="10"/>
  <c r="AA54" i="10"/>
  <c r="AB54" i="10" s="1"/>
  <c r="AC54" i="10"/>
  <c r="AF63" i="10" s="1"/>
  <c r="AA55" i="10"/>
  <c r="AC55" i="10"/>
  <c r="AA56" i="10"/>
  <c r="AC56" i="10"/>
  <c r="AA57" i="10"/>
  <c r="AC57" i="10"/>
  <c r="AA58" i="10"/>
  <c r="AC58" i="10"/>
  <c r="AA59" i="10"/>
  <c r="AC59" i="10"/>
  <c r="AD59" i="10" s="1"/>
  <c r="AA60" i="10"/>
  <c r="AC60" i="10"/>
  <c r="AA61" i="10"/>
  <c r="AC61" i="10"/>
  <c r="AA62" i="10"/>
  <c r="AB62" i="10" s="1"/>
  <c r="AC62" i="10"/>
  <c r="AA63" i="10"/>
  <c r="AB63" i="10" s="1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D84" i="10" s="1"/>
  <c r="AA76" i="10"/>
  <c r="AC76" i="10"/>
  <c r="AA77" i="10"/>
  <c r="AC77" i="10"/>
  <c r="AA78" i="10"/>
  <c r="AC78" i="10"/>
  <c r="AD85" i="10" s="1"/>
  <c r="AA79" i="10"/>
  <c r="AC79" i="10"/>
  <c r="AA80" i="10"/>
  <c r="AC80" i="10"/>
  <c r="AA81" i="10"/>
  <c r="AC81" i="10"/>
  <c r="AA82" i="10"/>
  <c r="AC82" i="10"/>
  <c r="AA83" i="10"/>
  <c r="AC83" i="10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J84" i="9" s="1"/>
  <c r="K2" i="9"/>
  <c r="L2" i="9"/>
  <c r="M2" i="9"/>
  <c r="N2" i="9"/>
  <c r="O2" i="9"/>
  <c r="P2" i="9"/>
  <c r="Q2" i="9"/>
  <c r="Q3" i="9" s="1"/>
  <c r="R2" i="9"/>
  <c r="S2" i="9"/>
  <c r="S3" i="9" s="1"/>
  <c r="S4" i="9" s="1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S84" i="9" s="1"/>
  <c r="S85" i="9" s="1"/>
  <c r="T2" i="9"/>
  <c r="T3" i="9" s="1"/>
  <c r="U2" i="9"/>
  <c r="V2" i="9"/>
  <c r="V3" i="9" s="1"/>
  <c r="W2" i="9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AA2" i="9"/>
  <c r="AB2" i="9" s="1"/>
  <c r="AC2" i="9"/>
  <c r="AD2" i="9" s="1"/>
  <c r="K3" i="9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K84" i="9" s="1"/>
  <c r="K85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L84" i="9" s="1"/>
  <c r="M3" i="9"/>
  <c r="N3" i="9"/>
  <c r="O3" i="9"/>
  <c r="P3" i="9"/>
  <c r="AA3" i="9"/>
  <c r="AC3" i="9"/>
  <c r="M4" i="9"/>
  <c r="N4" i="9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N84" i="9" s="1"/>
  <c r="N85" i="9" s="1"/>
  <c r="Q4" i="9"/>
  <c r="Q5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T84" i="9" s="1"/>
  <c r="T85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D30" i="9" s="1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D39" i="9" s="1"/>
  <c r="AA33" i="9"/>
  <c r="AC33" i="9"/>
  <c r="AA34" i="9"/>
  <c r="AC34" i="9"/>
  <c r="AA35" i="9"/>
  <c r="AB35" i="9" s="1"/>
  <c r="AC35" i="9"/>
  <c r="AA36" i="9"/>
  <c r="AC36" i="9"/>
  <c r="AA37" i="9"/>
  <c r="AC37" i="9"/>
  <c r="AA38" i="9"/>
  <c r="AC38" i="9"/>
  <c r="AA39" i="9"/>
  <c r="AC39" i="9"/>
  <c r="AE39" i="9" s="1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E60" i="9" s="1"/>
  <c r="AA54" i="9"/>
  <c r="AC54" i="9"/>
  <c r="AA55" i="9"/>
  <c r="AC55" i="9"/>
  <c r="AA56" i="9"/>
  <c r="AC56" i="9"/>
  <c r="AA57" i="9"/>
  <c r="AC57" i="9"/>
  <c r="AA58" i="9"/>
  <c r="AC58" i="9"/>
  <c r="AA59" i="9"/>
  <c r="AC59" i="9"/>
  <c r="AA60" i="9"/>
  <c r="AC60" i="9"/>
  <c r="AA61" i="9"/>
  <c r="AC61" i="9"/>
  <c r="AA62" i="9"/>
  <c r="AC62" i="9"/>
  <c r="AD70" i="9" s="1"/>
  <c r="AA63" i="9"/>
  <c r="AC63" i="9"/>
  <c r="AE71" i="9" s="1"/>
  <c r="AA64" i="9"/>
  <c r="AC64" i="9"/>
  <c r="AE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A71" i="9"/>
  <c r="AC71" i="9"/>
  <c r="AA72" i="9"/>
  <c r="AC72" i="9"/>
  <c r="AA73" i="9"/>
  <c r="AC73" i="9"/>
  <c r="AA74" i="9"/>
  <c r="AC74" i="9"/>
  <c r="AA75" i="9"/>
  <c r="AC75" i="9"/>
  <c r="AA76" i="9"/>
  <c r="AC76" i="9"/>
  <c r="AA77" i="9"/>
  <c r="AC77" i="9"/>
  <c r="AD84" i="9" s="1"/>
  <c r="AA78" i="9"/>
  <c r="AC78" i="9"/>
  <c r="AA79" i="9"/>
  <c r="AC79" i="9"/>
  <c r="AA80" i="9"/>
  <c r="AC80" i="9"/>
  <c r="AE84" i="9" s="1"/>
  <c r="AA81" i="9"/>
  <c r="AC81" i="9"/>
  <c r="AA82" i="9"/>
  <c r="AC82" i="9"/>
  <c r="AA83" i="9"/>
  <c r="AC83" i="9"/>
  <c r="I2" i="8"/>
  <c r="J2" i="8"/>
  <c r="K2" i="8"/>
  <c r="L2" i="8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N84" i="8" s="1"/>
  <c r="O2" i="8"/>
  <c r="P2" i="8"/>
  <c r="Q2" i="8"/>
  <c r="R2" i="8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X84" i="8" s="1"/>
  <c r="X85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I84" i="8" s="1"/>
  <c r="I85" i="8" s="1"/>
  <c r="I86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J84" i="8" s="1"/>
  <c r="J85" i="8" s="1"/>
  <c r="K3" i="8"/>
  <c r="K4" i="8" s="1"/>
  <c r="L3" i="8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Q3" i="8"/>
  <c r="Q4" i="8" s="1"/>
  <c r="R3" i="8"/>
  <c r="AA3" i="8"/>
  <c r="AC3" i="8"/>
  <c r="R4" i="8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R84" i="8" s="1"/>
  <c r="R85" i="8" s="1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S84" i="8" s="1"/>
  <c r="S85" i="8" s="1"/>
  <c r="AA4" i="8"/>
  <c r="AC4" i="8"/>
  <c r="AA5" i="8"/>
  <c r="AC5" i="8"/>
  <c r="AA6" i="8"/>
  <c r="AC6" i="8"/>
  <c r="AA7" i="8"/>
  <c r="AC7" i="8"/>
  <c r="AA8" i="8"/>
  <c r="AC8" i="8"/>
  <c r="AA9" i="8"/>
  <c r="AC9" i="8"/>
  <c r="AE15" i="8" s="1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B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B60" i="8" s="1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B69" i="8" s="1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B76" i="8" s="1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I2" i="7"/>
  <c r="J2" i="7"/>
  <c r="J3" i="7" s="1"/>
  <c r="K2" i="7"/>
  <c r="L2" i="7"/>
  <c r="M2" i="7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O84" i="7" s="1"/>
  <c r="O85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P84" i="7" s="1"/>
  <c r="P85" i="7" s="1"/>
  <c r="Q2" i="7"/>
  <c r="R2" i="7"/>
  <c r="S2" i="7"/>
  <c r="S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U3" i="7" s="1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V84" i="7" s="1"/>
  <c r="V85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W84" i="7" s="1"/>
  <c r="W85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X84" i="7" s="1"/>
  <c r="Y2" i="7"/>
  <c r="Y3" i="7" s="1"/>
  <c r="Z2" i="7"/>
  <c r="AA2" i="7"/>
  <c r="AB2" i="7" s="1"/>
  <c r="AC2" i="7"/>
  <c r="AD2" i="7" s="1"/>
  <c r="AE2" i="7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K84" i="7" s="1"/>
  <c r="K85" i="7" s="1"/>
  <c r="L3" i="7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L84" i="7" s="1"/>
  <c r="L85" i="7" s="1"/>
  <c r="M3" i="7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M84" i="7" s="1"/>
  <c r="M85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R3" i="7"/>
  <c r="R4" i="7" s="1"/>
  <c r="R5" i="7" s="1"/>
  <c r="AA3" i="7"/>
  <c r="AC3" i="7"/>
  <c r="AA4" i="7"/>
  <c r="AC4" i="7"/>
  <c r="AA5" i="7"/>
  <c r="AC5" i="7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C13" i="7"/>
  <c r="AA14" i="7"/>
  <c r="AC14" i="7"/>
  <c r="AA15" i="7"/>
  <c r="AC15" i="7"/>
  <c r="AA16" i="7"/>
  <c r="AC16" i="7"/>
  <c r="AA17" i="7"/>
  <c r="AC17" i="7"/>
  <c r="AA18" i="7"/>
  <c r="AC18" i="7"/>
  <c r="AA19" i="7"/>
  <c r="AC19" i="7"/>
  <c r="AA20" i="7"/>
  <c r="AC20" i="7"/>
  <c r="AA21" i="7"/>
  <c r="AC21" i="7"/>
  <c r="AA22" i="7"/>
  <c r="AC22" i="7"/>
  <c r="AA23" i="7"/>
  <c r="AC23" i="7"/>
  <c r="AF30" i="7" s="1"/>
  <c r="AA24" i="7"/>
  <c r="AC24" i="7"/>
  <c r="AA25" i="7"/>
  <c r="AC25" i="7"/>
  <c r="AA26" i="7"/>
  <c r="AC26" i="7"/>
  <c r="AA27" i="7"/>
  <c r="AC27" i="7"/>
  <c r="AA28" i="7"/>
  <c r="AC28" i="7"/>
  <c r="AF35" i="7" s="1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D51" i="7" s="1"/>
  <c r="AA44" i="7"/>
  <c r="AC44" i="7"/>
  <c r="AA45" i="7"/>
  <c r="AC45" i="7"/>
  <c r="AA46" i="7"/>
  <c r="AC46" i="7"/>
  <c r="AA47" i="7"/>
  <c r="AC47" i="7"/>
  <c r="AA48" i="7"/>
  <c r="AC48" i="7"/>
  <c r="AA49" i="7"/>
  <c r="AB49" i="7" s="1"/>
  <c r="AC49" i="7"/>
  <c r="AA50" i="7"/>
  <c r="AC50" i="7"/>
  <c r="AA51" i="7"/>
  <c r="AC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D57" i="7" s="1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B66" i="7" s="1"/>
  <c r="AC66" i="7"/>
  <c r="AA67" i="7"/>
  <c r="AC67" i="7"/>
  <c r="AA68" i="7"/>
  <c r="AC68" i="7"/>
  <c r="AA69" i="7"/>
  <c r="AC69" i="7"/>
  <c r="AE77" i="7" s="1"/>
  <c r="AA70" i="7"/>
  <c r="AC70" i="7"/>
  <c r="AA71" i="7"/>
  <c r="AC71" i="7"/>
  <c r="AA72" i="7"/>
  <c r="AC72" i="7"/>
  <c r="AA73" i="7"/>
  <c r="AB73" i="7" s="1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I2" i="6"/>
  <c r="I3" i="6" s="1"/>
  <c r="J2" i="6"/>
  <c r="J3" i="6" s="1"/>
  <c r="K2" i="6"/>
  <c r="K3" i="6" s="1"/>
  <c r="K4" i="6" s="1"/>
  <c r="K5" i="6" s="1"/>
  <c r="K6" i="6" s="1"/>
  <c r="K7" i="6" s="1"/>
  <c r="L2" i="6"/>
  <c r="L3" i="6" s="1"/>
  <c r="L4" i="6" s="1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L84" i="6" s="1"/>
  <c r="M2" i="6"/>
  <c r="M3" i="6" s="1"/>
  <c r="M4" i="6" s="1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N2" i="6"/>
  <c r="N3" i="6" s="1"/>
  <c r="N4" i="6" s="1"/>
  <c r="N5" i="6" s="1"/>
  <c r="N6" i="6" s="1"/>
  <c r="N7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O84" i="6" s="1"/>
  <c r="O85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P84" i="6" s="1"/>
  <c r="P85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Q84" i="6" s="1"/>
  <c r="Q85" i="6" s="1"/>
  <c r="R2" i="6"/>
  <c r="R3" i="6" s="1"/>
  <c r="R4" i="6" s="1"/>
  <c r="R5" i="6" s="1"/>
  <c r="R6" i="6" s="1"/>
  <c r="S2" i="6"/>
  <c r="T2" i="6"/>
  <c r="U2" i="6"/>
  <c r="V2" i="6"/>
  <c r="W2" i="6"/>
  <c r="X2" i="6"/>
  <c r="X3" i="6" s="1"/>
  <c r="X4" i="6" s="1"/>
  <c r="X5" i="6" s="1"/>
  <c r="X6" i="6" s="1"/>
  <c r="X7" i="6" s="1"/>
  <c r="X8" i="6" s="1"/>
  <c r="Y2" i="6"/>
  <c r="Y3" i="6" s="1"/>
  <c r="Y4" i="6" s="1"/>
  <c r="Y5" i="6" s="1"/>
  <c r="Y6" i="6" s="1"/>
  <c r="Y7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Z84" i="6" s="1"/>
  <c r="Z85" i="6" s="1"/>
  <c r="AA2" i="6"/>
  <c r="AB2" i="6" s="1"/>
  <c r="AC2" i="6"/>
  <c r="S3" i="6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S84" i="6" s="1"/>
  <c r="S85" i="6" s="1"/>
  <c r="T3" i="6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T84" i="6" s="1"/>
  <c r="T85" i="6" s="1"/>
  <c r="U3" i="6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U84" i="6" s="1"/>
  <c r="U85" i="6" s="1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J4" i="6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J84" i="6" s="1"/>
  <c r="J85" i="6" s="1"/>
  <c r="AA4" i="6"/>
  <c r="AC4" i="6"/>
  <c r="AA5" i="6"/>
  <c r="AB5" i="6" s="1"/>
  <c r="AC5" i="6"/>
  <c r="AA6" i="6"/>
  <c r="AC6" i="6"/>
  <c r="R7" i="6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R84" i="6" s="1"/>
  <c r="R85" i="6" s="1"/>
  <c r="AA7" i="6"/>
  <c r="AC7" i="6"/>
  <c r="K8" i="6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K84" i="6" s="1"/>
  <c r="K85" i="6" s="1"/>
  <c r="Y8" i="6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Y84" i="6" s="1"/>
  <c r="Y85" i="6" s="1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F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A35" i="6"/>
  <c r="AC35" i="6"/>
  <c r="AA36" i="6"/>
  <c r="AC36" i="6"/>
  <c r="AA37" i="6"/>
  <c r="AB37" i="6" s="1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B62" i="6" s="1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B72" i="6" s="1"/>
  <c r="AC72" i="6"/>
  <c r="AA73" i="6"/>
  <c r="AC73" i="6"/>
  <c r="AA74" i="6"/>
  <c r="AC74" i="6"/>
  <c r="AA75" i="6"/>
  <c r="AC75" i="6"/>
  <c r="AA76" i="6"/>
  <c r="AC76" i="6"/>
  <c r="AF84" i="6" s="1"/>
  <c r="AA77" i="6"/>
  <c r="AC77" i="6"/>
  <c r="AD85" i="6" s="1"/>
  <c r="AA78" i="6"/>
  <c r="AC78" i="6"/>
  <c r="AA79" i="6"/>
  <c r="AC79" i="6"/>
  <c r="AA80" i="6"/>
  <c r="AC80" i="6"/>
  <c r="AA81" i="6"/>
  <c r="AC81" i="6"/>
  <c r="AA82" i="6"/>
  <c r="AC82" i="6"/>
  <c r="AA83" i="6"/>
  <c r="AC83" i="6"/>
  <c r="I2" i="5"/>
  <c r="I3" i="5" s="1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I84" i="5" s="1"/>
  <c r="I85" i="5" s="1"/>
  <c r="I86" i="5" s="1"/>
  <c r="J2" i="5"/>
  <c r="J3" i="5" s="1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J84" i="5" s="1"/>
  <c r="J85" i="5" s="1"/>
  <c r="K2" i="5"/>
  <c r="L2" i="5"/>
  <c r="L3" i="5" s="1"/>
  <c r="L4" i="5" s="1"/>
  <c r="M2" i="5"/>
  <c r="N2" i="5"/>
  <c r="N3" i="5" s="1"/>
  <c r="P2" i="5"/>
  <c r="P3" i="5" s="1"/>
  <c r="Q2" i="5"/>
  <c r="Q3" i="5" s="1"/>
  <c r="Q4" i="5" s="1"/>
  <c r="Q5" i="5" s="1"/>
  <c r="Q6" i="5" s="1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Q84" i="5" s="1"/>
  <c r="Q85" i="5" s="1"/>
  <c r="R2" i="5"/>
  <c r="R3" i="5" s="1"/>
  <c r="R4" i="5" s="1"/>
  <c r="R5" i="5" s="1"/>
  <c r="R6" i="5" s="1"/>
  <c r="R7" i="5" s="1"/>
  <c r="S2" i="5"/>
  <c r="S3" i="5" s="1"/>
  <c r="T2" i="5"/>
  <c r="T3" i="5" s="1"/>
  <c r="T4" i="5" s="1"/>
  <c r="T5" i="5" s="1"/>
  <c r="T6" i="5" s="1"/>
  <c r="T7" i="5" s="1"/>
  <c r="T8" i="5" s="1"/>
  <c r="T9" i="5" s="1"/>
  <c r="T10" i="5" s="1"/>
  <c r="T11" i="5" s="1"/>
  <c r="T12" i="5" s="1"/>
  <c r="T13" i="5" s="1"/>
  <c r="U2" i="5"/>
  <c r="U3" i="5" s="1"/>
  <c r="U4" i="5" s="1"/>
  <c r="U5" i="5" s="1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U84" i="5" s="1"/>
  <c r="U85" i="5" s="1"/>
  <c r="V2" i="5"/>
  <c r="V3" i="5" s="1"/>
  <c r="V4" i="5" s="1"/>
  <c r="V5" i="5" s="1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V84" i="5" s="1"/>
  <c r="V85" i="5" s="1"/>
  <c r="W2" i="5"/>
  <c r="W3" i="5" s="1"/>
  <c r="W4" i="5" s="1"/>
  <c r="W5" i="5" s="1"/>
  <c r="W6" i="5" s="1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W84" i="5" s="1"/>
  <c r="W85" i="5" s="1"/>
  <c r="X2" i="5"/>
  <c r="X3" i="5" s="1"/>
  <c r="X4" i="5" s="1"/>
  <c r="X5" i="5" s="1"/>
  <c r="X6" i="5" s="1"/>
  <c r="X7" i="5" s="1"/>
  <c r="X8" i="5" s="1"/>
  <c r="X9" i="5" s="1"/>
  <c r="X10" i="5" s="1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X84" i="5" s="1"/>
  <c r="X85" i="5" s="1"/>
  <c r="Y2" i="5"/>
  <c r="Y3" i="5" s="1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Y84" i="5" s="1"/>
  <c r="Y85" i="5" s="1"/>
  <c r="Z2" i="5"/>
  <c r="Z3" i="5" s="1"/>
  <c r="AA2" i="5"/>
  <c r="AB2" i="5" s="1"/>
  <c r="AC2" i="5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M84" i="5" s="1"/>
  <c r="M85" i="5" s="1"/>
  <c r="AA3" i="5"/>
  <c r="AC3" i="5"/>
  <c r="AA4" i="5"/>
  <c r="AC4" i="5"/>
  <c r="AA5" i="5"/>
  <c r="AC5" i="5"/>
  <c r="AA6" i="5"/>
  <c r="AC6" i="5"/>
  <c r="AA7" i="5"/>
  <c r="AC7" i="5"/>
  <c r="AA8" i="5"/>
  <c r="AC8" i="5"/>
  <c r="AA9" i="5"/>
  <c r="AC9" i="5"/>
  <c r="AA10" i="5"/>
  <c r="AC10" i="5"/>
  <c r="AA11" i="5"/>
  <c r="AC11" i="5"/>
  <c r="AA12" i="5"/>
  <c r="AC12" i="5"/>
  <c r="AA13" i="5"/>
  <c r="AC13" i="5"/>
  <c r="AA14" i="5"/>
  <c r="AC14" i="5"/>
  <c r="AA15" i="5"/>
  <c r="AC15" i="5"/>
  <c r="AA16" i="5"/>
  <c r="AC16" i="5"/>
  <c r="AA17" i="5"/>
  <c r="AC17" i="5"/>
  <c r="AA18" i="5"/>
  <c r="AC18" i="5"/>
  <c r="AA19" i="5"/>
  <c r="AC19" i="5"/>
  <c r="AA20" i="5"/>
  <c r="AC20" i="5"/>
  <c r="AA21" i="5"/>
  <c r="AC21" i="5"/>
  <c r="AA22" i="5"/>
  <c r="AC22" i="5"/>
  <c r="AA23" i="5"/>
  <c r="AC23" i="5"/>
  <c r="AA24" i="5"/>
  <c r="AC24" i="5"/>
  <c r="AA25" i="5"/>
  <c r="AC25" i="5"/>
  <c r="AA26" i="5"/>
  <c r="AC26" i="5"/>
  <c r="AA27" i="5"/>
  <c r="AC27" i="5"/>
  <c r="AA28" i="5"/>
  <c r="AC28" i="5"/>
  <c r="AA29" i="5"/>
  <c r="AC29" i="5"/>
  <c r="AA30" i="5"/>
  <c r="AC30" i="5"/>
  <c r="AA31" i="5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A64" i="5"/>
  <c r="AC64" i="5"/>
  <c r="AA65" i="5"/>
  <c r="AC65" i="5"/>
  <c r="AA66" i="5"/>
  <c r="AC66" i="5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A80" i="5"/>
  <c r="AC80" i="5"/>
  <c r="AA81" i="5"/>
  <c r="AC81" i="5"/>
  <c r="AA82" i="5"/>
  <c r="AC82" i="5"/>
  <c r="AA83" i="5"/>
  <c r="AC83" i="5"/>
  <c r="P35" i="4"/>
  <c r="O7" i="4"/>
  <c r="P32" i="4"/>
  <c r="O40" i="4"/>
  <c r="N86" i="14" l="1"/>
  <c r="AD3" i="19"/>
  <c r="AB3" i="23"/>
  <c r="C88" i="29"/>
  <c r="C88" i="31"/>
  <c r="C88" i="27"/>
  <c r="C88" i="8"/>
  <c r="AD20" i="25"/>
  <c r="AF14" i="25"/>
  <c r="AF85" i="25"/>
  <c r="AF58" i="25"/>
  <c r="AD85" i="25"/>
  <c r="AD17" i="25"/>
  <c r="AF75" i="25"/>
  <c r="AF48" i="25"/>
  <c r="AF39" i="25"/>
  <c r="AF76" i="25"/>
  <c r="AD57" i="25"/>
  <c r="K86" i="25"/>
  <c r="AE56" i="25"/>
  <c r="W3" i="25"/>
  <c r="W4" i="25" s="1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W84" i="25" s="1"/>
  <c r="W85" i="25" s="1"/>
  <c r="O86" i="25"/>
  <c r="AA86" i="25" a="1"/>
  <c r="AA86" i="25" s="1"/>
  <c r="AD51" i="25"/>
  <c r="AB57" i="25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B69" i="25" s="1"/>
  <c r="AB70" i="25" s="1"/>
  <c r="AB71" i="25" s="1"/>
  <c r="AB72" i="25" s="1"/>
  <c r="AB73" i="25" s="1"/>
  <c r="AB74" i="25" s="1"/>
  <c r="AE46" i="25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T84" i="25" s="1"/>
  <c r="T85" i="25" s="1"/>
  <c r="AE85" i="25"/>
  <c r="AD41" i="25"/>
  <c r="AF73" i="25"/>
  <c r="AB14" i="25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S84" i="25" s="1"/>
  <c r="S85" i="25" s="1"/>
  <c r="AE84" i="25"/>
  <c r="AD81" i="25"/>
  <c r="AD13" i="25"/>
  <c r="R3" i="25"/>
  <c r="R4" i="25" s="1"/>
  <c r="R5" i="25" s="1"/>
  <c r="R6" i="25" s="1"/>
  <c r="R7" i="25" s="1"/>
  <c r="X86" i="25"/>
  <c r="AF72" i="25"/>
  <c r="AF54" i="25"/>
  <c r="AB13" i="25"/>
  <c r="AF59" i="25"/>
  <c r="AD84" i="25"/>
  <c r="N86" i="25"/>
  <c r="J9" i="4" s="1"/>
  <c r="AD35" i="25"/>
  <c r="AE53" i="25"/>
  <c r="M86" i="14"/>
  <c r="C88" i="14"/>
  <c r="W8" i="14"/>
  <c r="W9" i="14" s="1"/>
  <c r="W10" i="14" s="1"/>
  <c r="W11" i="14" s="1"/>
  <c r="W12" i="14" s="1"/>
  <c r="AD80" i="14"/>
  <c r="T3" i="14"/>
  <c r="T4" i="14" s="1"/>
  <c r="T5" i="14" s="1"/>
  <c r="T6" i="14" s="1"/>
  <c r="AE59" i="14"/>
  <c r="AF4" i="14"/>
  <c r="AF5" i="14" s="1"/>
  <c r="AF6" i="14" s="1"/>
  <c r="AF7" i="14" s="1"/>
  <c r="AF8" i="14" s="1"/>
  <c r="AF9" i="14" s="1"/>
  <c r="AF10" i="14" s="1"/>
  <c r="AF11" i="14" s="1"/>
  <c r="AF65" i="14"/>
  <c r="AB4" i="14"/>
  <c r="AB5" i="14" s="1"/>
  <c r="AB6" i="14" s="1"/>
  <c r="AB7" i="14" s="1"/>
  <c r="AB8" i="14" s="1"/>
  <c r="AB9" i="14" s="1"/>
  <c r="AB10" i="14" s="1"/>
  <c r="AB11" i="14" s="1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Y86" i="14"/>
  <c r="AD24" i="14"/>
  <c r="Q86" i="14"/>
  <c r="AD50" i="14"/>
  <c r="AD23" i="14"/>
  <c r="AD15" i="14"/>
  <c r="AA86" i="14" a="1"/>
  <c r="AA86" i="14" s="1"/>
  <c r="AF83" i="14"/>
  <c r="AD44" i="14"/>
  <c r="AB17" i="14"/>
  <c r="AB18" i="14" s="1"/>
  <c r="AB19" i="14" s="1"/>
  <c r="AB20" i="14" s="1"/>
  <c r="AB21" i="14" s="1"/>
  <c r="AB22" i="14" s="1"/>
  <c r="AB23" i="14" s="1"/>
  <c r="AB24" i="14" s="1"/>
  <c r="AB25" i="14" s="1"/>
  <c r="AB26" i="14" s="1"/>
  <c r="AB27" i="14" s="1"/>
  <c r="AB28" i="14" s="1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R86" i="14"/>
  <c r="AD85" i="14"/>
  <c r="AD74" i="14"/>
  <c r="Z86" i="14"/>
  <c r="AD29" i="14"/>
  <c r="AF26" i="14"/>
  <c r="AB12" i="14"/>
  <c r="AD31" i="14"/>
  <c r="AE84" i="14"/>
  <c r="AD17" i="14"/>
  <c r="AE69" i="14"/>
  <c r="P3" i="14"/>
  <c r="O86" i="14"/>
  <c r="AF76" i="14"/>
  <c r="AD20" i="14"/>
  <c r="AD13" i="14"/>
  <c r="AF34" i="14"/>
  <c r="AF22" i="30"/>
  <c r="AA86" i="30" a="1"/>
  <c r="AA86" i="30" s="1"/>
  <c r="W86" i="30"/>
  <c r="S3" i="30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S84" i="30" s="1"/>
  <c r="S85" i="30" s="1"/>
  <c r="AD38" i="30"/>
  <c r="AD15" i="30"/>
  <c r="J3" i="30"/>
  <c r="AD55" i="30"/>
  <c r="AD82" i="30"/>
  <c r="AD64" i="30"/>
  <c r="P3" i="30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P84" i="30" s="1"/>
  <c r="P85" i="30" s="1"/>
  <c r="AD12" i="30"/>
  <c r="AD18" i="30"/>
  <c r="AE14" i="30"/>
  <c r="AF44" i="30"/>
  <c r="AE25" i="30"/>
  <c r="Q86" i="30"/>
  <c r="AF58" i="30"/>
  <c r="AF66" i="30"/>
  <c r="O3" i="30"/>
  <c r="O4" i="30" s="1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O84" i="30" s="1"/>
  <c r="O85" i="30" s="1"/>
  <c r="AE27" i="30"/>
  <c r="AF80" i="30"/>
  <c r="AE43" i="30"/>
  <c r="AE24" i="30"/>
  <c r="AF85" i="30"/>
  <c r="AD70" i="30"/>
  <c r="AE85" i="30"/>
  <c r="AD37" i="30"/>
  <c r="AE83" i="30"/>
  <c r="Z86" i="30"/>
  <c r="AB79" i="30"/>
  <c r="AB80" i="30" s="1"/>
  <c r="AB81" i="30" s="1"/>
  <c r="AB82" i="30" s="1"/>
  <c r="AB83" i="30" s="1"/>
  <c r="AB84" i="30" s="1"/>
  <c r="AB85" i="30" s="1"/>
  <c r="AD84" i="30"/>
  <c r="AE29" i="36"/>
  <c r="AD29" i="36"/>
  <c r="U86" i="36"/>
  <c r="W86" i="36"/>
  <c r="C88" i="36"/>
  <c r="V86" i="36"/>
  <c r="S25" i="36"/>
  <c r="S26" i="36" s="1"/>
  <c r="AD46" i="36"/>
  <c r="J3" i="36"/>
  <c r="AE54" i="36"/>
  <c r="AF28" i="36"/>
  <c r="I3" i="36"/>
  <c r="AD54" i="36"/>
  <c r="AB28" i="36"/>
  <c r="AD3" i="36"/>
  <c r="X86" i="36"/>
  <c r="N86" i="36"/>
  <c r="J32" i="4" s="1"/>
  <c r="AE33" i="36"/>
  <c r="AD60" i="36"/>
  <c r="K4" i="36"/>
  <c r="AB60" i="36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B84" i="36" s="1"/>
  <c r="AB25" i="36"/>
  <c r="AB26" i="36" s="1"/>
  <c r="AB27" i="36" s="1"/>
  <c r="AD78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F68" i="36"/>
  <c r="AD31" i="36"/>
  <c r="AF27" i="36"/>
  <c r="Y86" i="36"/>
  <c r="AA86" i="36" a="1"/>
  <c r="AA86" i="36" s="1"/>
  <c r="AD48" i="36"/>
  <c r="Q86" i="36"/>
  <c r="AE62" i="36"/>
  <c r="AD84" i="36"/>
  <c r="AD19" i="36"/>
  <c r="AD66" i="36"/>
  <c r="C88" i="10"/>
  <c r="AF38" i="35"/>
  <c r="AD84" i="35"/>
  <c r="Y8" i="35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Y84" i="35" s="1"/>
  <c r="Y85" i="35" s="1"/>
  <c r="M85" i="35"/>
  <c r="M86" i="35" s="1"/>
  <c r="I21" i="4" s="1"/>
  <c r="N85" i="35"/>
  <c r="N86" i="35" s="1"/>
  <c r="J21" i="4" s="1"/>
  <c r="AD55" i="35"/>
  <c r="AE85" i="35"/>
  <c r="AF63" i="35"/>
  <c r="J3" i="35"/>
  <c r="J4" i="35" s="1"/>
  <c r="J5" i="35" s="1"/>
  <c r="J6" i="35" s="1"/>
  <c r="J7" i="35" s="1"/>
  <c r="J8" i="35" s="1"/>
  <c r="J9" i="35" s="1"/>
  <c r="J10" i="35" s="1"/>
  <c r="AD38" i="35"/>
  <c r="Q86" i="35"/>
  <c r="AD85" i="35"/>
  <c r="AD72" i="35"/>
  <c r="AA86" i="35" a="1"/>
  <c r="AA86" i="35" s="1"/>
  <c r="AE53" i="35"/>
  <c r="AD61" i="35"/>
  <c r="AE25" i="35"/>
  <c r="AE60" i="35"/>
  <c r="AD3" i="35"/>
  <c r="AE69" i="35"/>
  <c r="AD51" i="35"/>
  <c r="AD59" i="35"/>
  <c r="AD23" i="35"/>
  <c r="AD53" i="35"/>
  <c r="AE77" i="35"/>
  <c r="AF58" i="35"/>
  <c r="AD40" i="35"/>
  <c r="AF76" i="35"/>
  <c r="AD57" i="35"/>
  <c r="AB5" i="35"/>
  <c r="S3" i="35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S17" i="35" s="1"/>
  <c r="AE84" i="35"/>
  <c r="AE81" i="35"/>
  <c r="AF44" i="35"/>
  <c r="AF56" i="35"/>
  <c r="AF21" i="35"/>
  <c r="O86" i="35"/>
  <c r="P86" i="35"/>
  <c r="AA86" i="15" a="1"/>
  <c r="AA86" i="15" s="1"/>
  <c r="AF12" i="15"/>
  <c r="AB80" i="15"/>
  <c r="C88" i="15"/>
  <c r="Z4" i="15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Z84" i="15" s="1"/>
  <c r="Z85" i="15" s="1"/>
  <c r="P68" i="15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P84" i="15" s="1"/>
  <c r="P85" i="15" s="1"/>
  <c r="Q7" i="15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Q84" i="15" s="1"/>
  <c r="Q85" i="15" s="1"/>
  <c r="AB81" i="15"/>
  <c r="AD53" i="15"/>
  <c r="AD43" i="15"/>
  <c r="AE41" i="15"/>
  <c r="AB24" i="15"/>
  <c r="AB3" i="15"/>
  <c r="AB4" i="15" s="1"/>
  <c r="AE78" i="15"/>
  <c r="AE50" i="15"/>
  <c r="AD23" i="15"/>
  <c r="AE28" i="15"/>
  <c r="AE36" i="15"/>
  <c r="AD45" i="15"/>
  <c r="AD81" i="15"/>
  <c r="AD54" i="15"/>
  <c r="AD26" i="15"/>
  <c r="AD24" i="15"/>
  <c r="Y86" i="15"/>
  <c r="AD84" i="15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I84" i="15" s="1"/>
  <c r="I85" i="15" s="1"/>
  <c r="AD82" i="15"/>
  <c r="AF42" i="15"/>
  <c r="AD51" i="15"/>
  <c r="AD59" i="15"/>
  <c r="AD49" i="15"/>
  <c r="AE22" i="15"/>
  <c r="AF84" i="15"/>
  <c r="AF63" i="15"/>
  <c r="AE32" i="15"/>
  <c r="AB78" i="15"/>
  <c r="AB84" i="15"/>
  <c r="AB85" i="15" s="1"/>
  <c r="AF55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U14" i="15" s="1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U84" i="15" s="1"/>
  <c r="U85" i="15" s="1"/>
  <c r="AB5" i="15"/>
  <c r="AF85" i="15"/>
  <c r="AE40" i="15"/>
  <c r="R3" i="15"/>
  <c r="AF35" i="15"/>
  <c r="AD33" i="15"/>
  <c r="AF29" i="15"/>
  <c r="AF2" i="28"/>
  <c r="K86" i="6"/>
  <c r="AF2" i="19"/>
  <c r="AE2" i="22"/>
  <c r="AE2" i="8"/>
  <c r="J86" i="8"/>
  <c r="D5" i="4" s="1"/>
  <c r="AD85" i="28"/>
  <c r="AE13" i="28"/>
  <c r="X4" i="28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X27" i="28" s="1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X84" i="28" s="1"/>
  <c r="X85" i="28" s="1"/>
  <c r="L85" i="28"/>
  <c r="L86" i="28" s="1"/>
  <c r="E39" i="4" s="1"/>
  <c r="Q86" i="28"/>
  <c r="N85" i="28"/>
  <c r="N86" i="28" s="1"/>
  <c r="J39" i="4" s="1"/>
  <c r="AF12" i="28"/>
  <c r="AE4" i="28"/>
  <c r="AD2" i="28"/>
  <c r="AE80" i="28"/>
  <c r="AE85" i="28"/>
  <c r="AB52" i="28"/>
  <c r="AB53" i="28" s="1"/>
  <c r="AB54" i="28" s="1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B84" i="28" s="1"/>
  <c r="AF24" i="28"/>
  <c r="AD72" i="28"/>
  <c r="AB24" i="28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B43" i="28" s="1"/>
  <c r="AB44" i="28" s="1"/>
  <c r="AB45" i="28" s="1"/>
  <c r="AB46" i="28" s="1"/>
  <c r="AB47" i="28" s="1"/>
  <c r="AB48" i="28" s="1"/>
  <c r="AB49" i="28" s="1"/>
  <c r="AE84" i="28"/>
  <c r="AE59" i="28"/>
  <c r="AB50" i="28"/>
  <c r="AD3" i="28"/>
  <c r="AA86" i="28" a="1"/>
  <c r="AA86" i="28" s="1"/>
  <c r="AE77" i="28"/>
  <c r="Y3" i="28"/>
  <c r="Y4" i="28" s="1"/>
  <c r="AD29" i="28"/>
  <c r="AF21" i="28"/>
  <c r="AF76" i="28"/>
  <c r="AE28" i="28"/>
  <c r="V3" i="28"/>
  <c r="V4" i="28" s="1"/>
  <c r="V5" i="28" s="1"/>
  <c r="V6" i="28" s="1"/>
  <c r="V7" i="28" s="1"/>
  <c r="V8" i="28" s="1"/>
  <c r="V9" i="28" s="1"/>
  <c r="V10" i="28" s="1"/>
  <c r="V11" i="28" s="1"/>
  <c r="R86" i="28"/>
  <c r="AD75" i="28"/>
  <c r="AE27" i="28"/>
  <c r="AD13" i="28"/>
  <c r="I86" i="6"/>
  <c r="C31" i="4" s="1"/>
  <c r="AB73" i="6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AB84" i="6" s="1"/>
  <c r="U86" i="6"/>
  <c r="L85" i="6"/>
  <c r="L86" i="6" s="1"/>
  <c r="E31" i="4" s="1"/>
  <c r="X9" i="6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X84" i="6" s="1"/>
  <c r="X85" i="6" s="1"/>
  <c r="S86" i="6"/>
  <c r="AA86" i="6" a="1"/>
  <c r="AA86" i="6" s="1"/>
  <c r="AE84" i="6"/>
  <c r="AE85" i="6"/>
  <c r="AF16" i="6"/>
  <c r="AD35" i="6"/>
  <c r="AD62" i="6"/>
  <c r="Y86" i="6"/>
  <c r="AD76" i="6"/>
  <c r="AD74" i="6"/>
  <c r="AB61" i="6"/>
  <c r="AE34" i="6"/>
  <c r="AE15" i="6"/>
  <c r="AE22" i="6"/>
  <c r="AD21" i="6"/>
  <c r="AE14" i="6"/>
  <c r="AD40" i="6"/>
  <c r="AE54" i="6"/>
  <c r="T86" i="6"/>
  <c r="AF20" i="6"/>
  <c r="AE39" i="6"/>
  <c r="J86" i="6"/>
  <c r="D31" i="4" s="1"/>
  <c r="Z86" i="6"/>
  <c r="Q86" i="6"/>
  <c r="O86" i="6"/>
  <c r="R86" i="6"/>
  <c r="P86" i="6"/>
  <c r="AF43" i="9"/>
  <c r="AF78" i="9"/>
  <c r="Z4" i="9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Z84" i="9" s="1"/>
  <c r="Z85" i="9" s="1"/>
  <c r="N86" i="9"/>
  <c r="L85" i="9"/>
  <c r="L86" i="9" s="1"/>
  <c r="E36" i="4" s="1"/>
  <c r="K86" i="9"/>
  <c r="J85" i="9"/>
  <c r="J86" i="9" s="1"/>
  <c r="D36" i="4" s="1"/>
  <c r="AF61" i="9"/>
  <c r="AD85" i="9"/>
  <c r="AD37" i="9"/>
  <c r="AE43" i="9"/>
  <c r="AE34" i="9"/>
  <c r="AD41" i="9"/>
  <c r="AF71" i="9"/>
  <c r="AE69" i="9"/>
  <c r="AD14" i="9"/>
  <c r="W3" i="9"/>
  <c r="AA86" i="9" a="1"/>
  <c r="AA86" i="9" s="1"/>
  <c r="AF75" i="9"/>
  <c r="AD67" i="9"/>
  <c r="AF48" i="9"/>
  <c r="AB6" i="9"/>
  <c r="AB7" i="9" s="1"/>
  <c r="AB8" i="9" s="1"/>
  <c r="AB9" i="9" s="1"/>
  <c r="AB10" i="9" s="1"/>
  <c r="AB11" i="9" s="1"/>
  <c r="AB12" i="9" s="1"/>
  <c r="AB13" i="9" s="1"/>
  <c r="AB14" i="9" s="1"/>
  <c r="AB15" i="9" s="1"/>
  <c r="AB16" i="9" s="1"/>
  <c r="AB17" i="9" s="1"/>
  <c r="AB18" i="9" s="1"/>
  <c r="AB19" i="9" s="1"/>
  <c r="AD42" i="9"/>
  <c r="U3" i="9"/>
  <c r="AE83" i="9"/>
  <c r="AF74" i="9"/>
  <c r="AD66" i="9"/>
  <c r="AD57" i="9"/>
  <c r="AF39" i="9"/>
  <c r="AF31" i="9"/>
  <c r="AF82" i="9"/>
  <c r="AB21" i="9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D12" i="9"/>
  <c r="AD3" i="9"/>
  <c r="AD4" i="9" s="1"/>
  <c r="AD5" i="9" s="1"/>
  <c r="AD6" i="9" s="1"/>
  <c r="AD7" i="9" s="1"/>
  <c r="AD8" i="9" s="1"/>
  <c r="AD9" i="9" s="1"/>
  <c r="AD10" i="9" s="1"/>
  <c r="AD11" i="9" s="1"/>
  <c r="AF50" i="9"/>
  <c r="AB46" i="9"/>
  <c r="AD64" i="9"/>
  <c r="AB20" i="9"/>
  <c r="T86" i="9"/>
  <c r="S86" i="9"/>
  <c r="AB18" i="29"/>
  <c r="AA86" i="29" a="1"/>
  <c r="AA86" i="29" s="1"/>
  <c r="AB19" i="29"/>
  <c r="K21" i="29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K84" i="29" s="1"/>
  <c r="K85" i="29" s="1"/>
  <c r="J85" i="29"/>
  <c r="J86" i="29" s="1"/>
  <c r="D40" i="4" s="1"/>
  <c r="AE69" i="29"/>
  <c r="U86" i="29"/>
  <c r="AD33" i="29"/>
  <c r="AF25" i="29"/>
  <c r="AD57" i="29"/>
  <c r="AF30" i="29"/>
  <c r="AD22" i="29"/>
  <c r="AD38" i="29"/>
  <c r="AE66" i="29"/>
  <c r="AD55" i="29"/>
  <c r="AE46" i="29"/>
  <c r="AD21" i="29"/>
  <c r="V86" i="29"/>
  <c r="AF37" i="29"/>
  <c r="AD54" i="29"/>
  <c r="AD37" i="29"/>
  <c r="T86" i="29"/>
  <c r="AD85" i="29"/>
  <c r="AD36" i="29"/>
  <c r="AE84" i="29"/>
  <c r="P86" i="29"/>
  <c r="AF49" i="29"/>
  <c r="O86" i="29"/>
  <c r="AD50" i="21"/>
  <c r="AF14" i="21"/>
  <c r="V5" i="2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V84" i="21" s="1"/>
  <c r="V85" i="21" s="1"/>
  <c r="Z20" i="2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Z73" i="21" s="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Z84" i="21" s="1"/>
  <c r="Z85" i="21" s="1"/>
  <c r="K85" i="21"/>
  <c r="K86" i="21" s="1"/>
  <c r="AD40" i="21"/>
  <c r="X86" i="21"/>
  <c r="AF64" i="21"/>
  <c r="AF82" i="21"/>
  <c r="AF85" i="21"/>
  <c r="AE85" i="21"/>
  <c r="AF84" i="21"/>
  <c r="AE70" i="21"/>
  <c r="AD52" i="21"/>
  <c r="AD63" i="21"/>
  <c r="AD78" i="21"/>
  <c r="AE34" i="21"/>
  <c r="AA86" i="21" a="1"/>
  <c r="AA86" i="21" s="1"/>
  <c r="AD81" i="21"/>
  <c r="AD77" i="21"/>
  <c r="AD42" i="21"/>
  <c r="AE58" i="21"/>
  <c r="Q86" i="21"/>
  <c r="AA86" i="19" a="1"/>
  <c r="AA86" i="19" s="1"/>
  <c r="AD84" i="19"/>
  <c r="I85" i="19"/>
  <c r="I86" i="19" s="1"/>
  <c r="C28" i="4" s="1"/>
  <c r="J85" i="19"/>
  <c r="J86" i="19" s="1"/>
  <c r="D28" i="4" s="1"/>
  <c r="P4" i="19"/>
  <c r="P5" i="19" s="1"/>
  <c r="P6" i="19" s="1"/>
  <c r="P7" i="19" s="1"/>
  <c r="N5" i="19"/>
  <c r="N6" i="19" s="1"/>
  <c r="AD78" i="19"/>
  <c r="AF53" i="19"/>
  <c r="AD45" i="19"/>
  <c r="AD79" i="19"/>
  <c r="AF36" i="19"/>
  <c r="W86" i="19"/>
  <c r="U86" i="19"/>
  <c r="AF52" i="19"/>
  <c r="AB5" i="19"/>
  <c r="AB6" i="19" s="1"/>
  <c r="AB7" i="19" s="1"/>
  <c r="AB8" i="19" s="1"/>
  <c r="AB9" i="19" s="1"/>
  <c r="AB10" i="19" s="1"/>
  <c r="AB11" i="19" s="1"/>
  <c r="AB12" i="19" s="1"/>
  <c r="AB13" i="19" s="1"/>
  <c r="AB14" i="19" s="1"/>
  <c r="AB15" i="19" s="1"/>
  <c r="Q3" i="19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Q84" i="19" s="1"/>
  <c r="Q85" i="19" s="1"/>
  <c r="AF56" i="19"/>
  <c r="AD60" i="19"/>
  <c r="AD18" i="19"/>
  <c r="O3" i="19"/>
  <c r="O4" i="19" s="1"/>
  <c r="O5" i="19" s="1"/>
  <c r="O6" i="19" s="1"/>
  <c r="O7" i="19" s="1"/>
  <c r="O8" i="19" s="1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O84" i="19" s="1"/>
  <c r="O85" i="19" s="1"/>
  <c r="T3" i="19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T22" i="19" s="1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T84" i="19" s="1"/>
  <c r="T85" i="19" s="1"/>
  <c r="AE35" i="19"/>
  <c r="AD43" i="19"/>
  <c r="AB4" i="19"/>
  <c r="S86" i="19"/>
  <c r="AD29" i="19"/>
  <c r="AD42" i="19"/>
  <c r="AF71" i="19"/>
  <c r="AD74" i="19"/>
  <c r="AD33" i="19"/>
  <c r="AE25" i="19"/>
  <c r="AE2" i="19"/>
  <c r="AE3" i="19" s="1"/>
  <c r="AE4" i="19" s="1"/>
  <c r="AE5" i="19" s="1"/>
  <c r="AE6" i="19" s="1"/>
  <c r="AE7" i="19" s="1"/>
  <c r="AE8" i="19" s="1"/>
  <c r="AE9" i="19" s="1"/>
  <c r="AE10" i="19" s="1"/>
  <c r="AE11" i="19" s="1"/>
  <c r="AE50" i="19"/>
  <c r="V86" i="19"/>
  <c r="AD85" i="19"/>
  <c r="AF84" i="19"/>
  <c r="AB81" i="19"/>
  <c r="AB82" i="19" s="1"/>
  <c r="AB83" i="19" s="1"/>
  <c r="AB84" i="19" s="1"/>
  <c r="AD46" i="19"/>
  <c r="AD49" i="19"/>
  <c r="AF57" i="19"/>
  <c r="AF23" i="19"/>
  <c r="AE31" i="19"/>
  <c r="C88" i="19"/>
  <c r="AB73" i="31"/>
  <c r="AF55" i="31"/>
  <c r="AE74" i="31"/>
  <c r="S4" i="31"/>
  <c r="S5" i="31" s="1"/>
  <c r="S6" i="31" s="1"/>
  <c r="S7" i="31" s="1"/>
  <c r="S8" i="31" s="1"/>
  <c r="S9" i="31" s="1"/>
  <c r="S10" i="31" s="1"/>
  <c r="S11" i="31" s="1"/>
  <c r="S12" i="31" s="1"/>
  <c r="S13" i="31" s="1"/>
  <c r="L85" i="31"/>
  <c r="L86" i="31" s="1"/>
  <c r="E10" i="4" s="1"/>
  <c r="AB4" i="31"/>
  <c r="AE71" i="31"/>
  <c r="AD53" i="31"/>
  <c r="AB71" i="31"/>
  <c r="Q86" i="31"/>
  <c r="AF85" i="31"/>
  <c r="AD17" i="31"/>
  <c r="AB3" i="31"/>
  <c r="AD51" i="31"/>
  <c r="W3" i="31"/>
  <c r="W4" i="31" s="1"/>
  <c r="W5" i="31" s="1"/>
  <c r="W6" i="31" s="1"/>
  <c r="W7" i="31" s="1"/>
  <c r="AE78" i="31"/>
  <c r="V3" i="3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V18" i="31" s="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V84" i="31" s="1"/>
  <c r="V85" i="31" s="1"/>
  <c r="AF37" i="31"/>
  <c r="AF36" i="31"/>
  <c r="AD59" i="31"/>
  <c r="AE68" i="31"/>
  <c r="AF40" i="31"/>
  <c r="AF16" i="31"/>
  <c r="AA86" i="31" a="1"/>
  <c r="AA86" i="31" s="1"/>
  <c r="AE84" i="31"/>
  <c r="T86" i="31"/>
  <c r="AE80" i="31"/>
  <c r="AB9" i="31"/>
  <c r="AB10" i="31" s="1"/>
  <c r="AB11" i="31" s="1"/>
  <c r="AB12" i="31" s="1"/>
  <c r="AB13" i="31" s="1"/>
  <c r="AB14" i="31" s="1"/>
  <c r="AB15" i="31" s="1"/>
  <c r="AB16" i="31" s="1"/>
  <c r="AB17" i="31" s="1"/>
  <c r="AB18" i="31" s="1"/>
  <c r="AB19" i="31" s="1"/>
  <c r="AB20" i="31" s="1"/>
  <c r="AB21" i="31" s="1"/>
  <c r="AB22" i="31" s="1"/>
  <c r="AB23" i="31" s="1"/>
  <c r="AB24" i="31" s="1"/>
  <c r="AB25" i="31" s="1"/>
  <c r="AB26" i="31" s="1"/>
  <c r="AB27" i="31" s="1"/>
  <c r="AB28" i="31" s="1"/>
  <c r="AB29" i="31" s="1"/>
  <c r="AB30" i="31" s="1"/>
  <c r="AB31" i="31" s="1"/>
  <c r="AB32" i="31" s="1"/>
  <c r="AB33" i="31" s="1"/>
  <c r="AB34" i="31" s="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R84" i="31" s="1"/>
  <c r="R85" i="31" s="1"/>
  <c r="AE65" i="31"/>
  <c r="AF57" i="31"/>
  <c r="AD31" i="31"/>
  <c r="AB8" i="31"/>
  <c r="AE13" i="22"/>
  <c r="AF21" i="22"/>
  <c r="AA86" i="22" a="1"/>
  <c r="AA86" i="22" s="1"/>
  <c r="AD66" i="22"/>
  <c r="N3" i="22"/>
  <c r="AD48" i="22"/>
  <c r="AE21" i="22"/>
  <c r="O3" i="22"/>
  <c r="O4" i="22" s="1"/>
  <c r="O5" i="22" s="1"/>
  <c r="O6" i="22" s="1"/>
  <c r="O7" i="22" s="1"/>
  <c r="O8" i="22" s="1"/>
  <c r="O9" i="22" s="1"/>
  <c r="O10" i="22" s="1"/>
  <c r="O11" i="22" s="1"/>
  <c r="O12" i="22" s="1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O84" i="22" s="1"/>
  <c r="O85" i="22" s="1"/>
  <c r="AE56" i="22"/>
  <c r="M3" i="22"/>
  <c r="AF39" i="22"/>
  <c r="AF13" i="22"/>
  <c r="U86" i="22"/>
  <c r="AD21" i="22"/>
  <c r="AD28" i="22"/>
  <c r="AD20" i="22"/>
  <c r="AF2" i="22"/>
  <c r="AE63" i="22"/>
  <c r="AD45" i="22"/>
  <c r="AF53" i="22"/>
  <c r="Y86" i="22"/>
  <c r="AF50" i="22"/>
  <c r="AB18" i="22"/>
  <c r="Z86" i="22"/>
  <c r="AD46" i="22"/>
  <c r="AE46" i="22"/>
  <c r="AD49" i="22"/>
  <c r="AE80" i="22"/>
  <c r="AD70" i="22"/>
  <c r="AF43" i="22"/>
  <c r="AD24" i="22"/>
  <c r="AD55" i="22"/>
  <c r="AE16" i="22"/>
  <c r="AE3" i="22"/>
  <c r="AD85" i="22"/>
  <c r="AD42" i="22"/>
  <c r="AB33" i="22"/>
  <c r="AB34" i="22" s="1"/>
  <c r="AB35" i="22" s="1"/>
  <c r="AD23" i="22"/>
  <c r="AB85" i="22"/>
  <c r="AD84" i="22"/>
  <c r="AF37" i="22"/>
  <c r="AB8" i="22"/>
  <c r="AB84" i="22"/>
  <c r="AF44" i="13"/>
  <c r="AA86" i="13" a="1"/>
  <c r="AA86" i="13" s="1"/>
  <c r="AF14" i="13"/>
  <c r="N85" i="13"/>
  <c r="N86" i="13" s="1"/>
  <c r="J15" i="4" s="1"/>
  <c r="J86" i="13"/>
  <c r="D15" i="4" s="1"/>
  <c r="AE80" i="13"/>
  <c r="AE53" i="13"/>
  <c r="AD78" i="13"/>
  <c r="AE60" i="13"/>
  <c r="AD35" i="13"/>
  <c r="AD62" i="13"/>
  <c r="AD34" i="13"/>
  <c r="AD16" i="13"/>
  <c r="AE3" i="13"/>
  <c r="AB3" i="13"/>
  <c r="AE67" i="13"/>
  <c r="AF85" i="13"/>
  <c r="Y3" i="13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Y84" i="13" s="1"/>
  <c r="Y85" i="13" s="1"/>
  <c r="AD12" i="13"/>
  <c r="AD13" i="13"/>
  <c r="AB4" i="13"/>
  <c r="AB5" i="13" s="1"/>
  <c r="AB6" i="13" s="1"/>
  <c r="AE75" i="13"/>
  <c r="AB66" i="13"/>
  <c r="AD57" i="13"/>
  <c r="AB7" i="13"/>
  <c r="U3" i="13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U84" i="13" s="1"/>
  <c r="U85" i="13" s="1"/>
  <c r="AD39" i="13"/>
  <c r="AB32" i="13"/>
  <c r="AF31" i="8"/>
  <c r="AE72" i="8"/>
  <c r="AD84" i="8"/>
  <c r="AB61" i="8"/>
  <c r="AB62" i="8" s="1"/>
  <c r="AB63" i="8" s="1"/>
  <c r="AB64" i="8" s="1"/>
  <c r="AB65" i="8" s="1"/>
  <c r="AB66" i="8" s="1"/>
  <c r="AB67" i="8" s="1"/>
  <c r="AB70" i="8"/>
  <c r="AB71" i="8" s="1"/>
  <c r="AB72" i="8" s="1"/>
  <c r="AB73" i="8" s="1"/>
  <c r="AB74" i="8" s="1"/>
  <c r="AB75" i="8" s="1"/>
  <c r="X86" i="8"/>
  <c r="K5" i="8"/>
  <c r="W55" i="8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W84" i="8" s="1"/>
  <c r="W85" i="8" s="1"/>
  <c r="N85" i="8"/>
  <c r="N86" i="8" s="1"/>
  <c r="J5" i="4" s="1"/>
  <c r="AE60" i="8"/>
  <c r="O3" i="8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O84" i="8" s="1"/>
  <c r="O85" i="8" s="1"/>
  <c r="AF30" i="8"/>
  <c r="AE80" i="8"/>
  <c r="AD22" i="8"/>
  <c r="AF85" i="8"/>
  <c r="AF17" i="8"/>
  <c r="AB51" i="8"/>
  <c r="AD85" i="8"/>
  <c r="AF15" i="8"/>
  <c r="AF84" i="8"/>
  <c r="P3" i="8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P84" i="8" s="1"/>
  <c r="P85" i="8" s="1"/>
  <c r="AB77" i="8"/>
  <c r="AB78" i="8" s="1"/>
  <c r="AB79" i="8" s="1"/>
  <c r="AB80" i="8" s="1"/>
  <c r="AB81" i="8" s="1"/>
  <c r="AB82" i="8" s="1"/>
  <c r="AB83" i="8" s="1"/>
  <c r="AB84" i="8" s="1"/>
  <c r="R86" i="8"/>
  <c r="AA86" i="8" a="1"/>
  <c r="AA86" i="8" s="1"/>
  <c r="S86" i="8"/>
  <c r="N86" i="32"/>
  <c r="AA86" i="26" a="1"/>
  <c r="AA86" i="26" s="1"/>
  <c r="AE39" i="12"/>
  <c r="AF13" i="12"/>
  <c r="T4" i="12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T84" i="12" s="1"/>
  <c r="T85" i="12" s="1"/>
  <c r="AE61" i="12"/>
  <c r="AF43" i="12"/>
  <c r="AD70" i="12"/>
  <c r="AE18" i="12"/>
  <c r="X86" i="12"/>
  <c r="AE15" i="12"/>
  <c r="AF75" i="12"/>
  <c r="AE38" i="12"/>
  <c r="AD79" i="12"/>
  <c r="AB3" i="12"/>
  <c r="AE78" i="12"/>
  <c r="AD50" i="12"/>
  <c r="AE41" i="12"/>
  <c r="W86" i="12"/>
  <c r="M86" i="12"/>
  <c r="I26" i="4" s="1"/>
  <c r="U86" i="12"/>
  <c r="AA86" i="12" a="1"/>
  <c r="AA86" i="12" s="1"/>
  <c r="AF40" i="12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R84" i="12" s="1"/>
  <c r="R85" i="12" s="1"/>
  <c r="O86" i="12"/>
  <c r="AE64" i="12"/>
  <c r="AD72" i="12"/>
  <c r="AE19" i="12"/>
  <c r="AD67" i="12"/>
  <c r="AE16" i="12"/>
  <c r="V86" i="12"/>
  <c r="AD85" i="12"/>
  <c r="AD84" i="12"/>
  <c r="AF2" i="18"/>
  <c r="AD17" i="18"/>
  <c r="AF25" i="18"/>
  <c r="AF67" i="18"/>
  <c r="AA86" i="18" a="1"/>
  <c r="AA86" i="18" s="1"/>
  <c r="AF13" i="18"/>
  <c r="W4" i="18"/>
  <c r="W5" i="18" s="1"/>
  <c r="W6" i="18" s="1"/>
  <c r="W7" i="18" s="1"/>
  <c r="W8" i="18" s="1"/>
  <c r="W9" i="18" s="1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8" s="1"/>
  <c r="W85" i="18" s="1"/>
  <c r="N85" i="18"/>
  <c r="N86" i="18" s="1"/>
  <c r="J38" i="4" s="1"/>
  <c r="K85" i="18"/>
  <c r="K86" i="18" s="1"/>
  <c r="J86" i="18"/>
  <c r="AE20" i="18"/>
  <c r="AE67" i="18"/>
  <c r="AD60" i="18"/>
  <c r="AD74" i="18"/>
  <c r="AB5" i="18"/>
  <c r="AB6" i="18" s="1"/>
  <c r="AB7" i="18" s="1"/>
  <c r="AB8" i="18" s="1"/>
  <c r="U86" i="18"/>
  <c r="AE24" i="18"/>
  <c r="AF71" i="18"/>
  <c r="AE64" i="18"/>
  <c r="AD57" i="18"/>
  <c r="AF72" i="18"/>
  <c r="AB4" i="18"/>
  <c r="AE40" i="18"/>
  <c r="AF23" i="18"/>
  <c r="AD59" i="18"/>
  <c r="AE85" i="18"/>
  <c r="AE84" i="18"/>
  <c r="L86" i="18"/>
  <c r="E38" i="4" s="1"/>
  <c r="AF70" i="18"/>
  <c r="Z86" i="18"/>
  <c r="AE73" i="18"/>
  <c r="AD18" i="18"/>
  <c r="AD85" i="18"/>
  <c r="AF84" i="18"/>
  <c r="AD63" i="18"/>
  <c r="Y3" i="18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Y84" i="18" s="1"/>
  <c r="Y85" i="18" s="1"/>
  <c r="AE46" i="18"/>
  <c r="X3" i="18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X84" i="18" s="1"/>
  <c r="X85" i="18" s="1"/>
  <c r="AD62" i="18"/>
  <c r="AE33" i="18"/>
  <c r="AD77" i="18"/>
  <c r="AE62" i="18"/>
  <c r="Q86" i="18"/>
  <c r="AD84" i="23"/>
  <c r="AF84" i="23"/>
  <c r="AF15" i="23"/>
  <c r="J85" i="23"/>
  <c r="J86" i="23" s="1"/>
  <c r="D17" i="4" s="1"/>
  <c r="AD34" i="23"/>
  <c r="AE25" i="23"/>
  <c r="AA86" i="23" a="1"/>
  <c r="AA86" i="23" s="1"/>
  <c r="AE17" i="23"/>
  <c r="Z86" i="23"/>
  <c r="AD40" i="23"/>
  <c r="AE39" i="23"/>
  <c r="AF64" i="23"/>
  <c r="AD31" i="23"/>
  <c r="V86" i="23"/>
  <c r="AF32" i="23"/>
  <c r="I86" i="23"/>
  <c r="C17" i="4" s="1"/>
  <c r="AE57" i="23"/>
  <c r="AE38" i="23"/>
  <c r="U86" i="23"/>
  <c r="AD64" i="23"/>
  <c r="AD21" i="23"/>
  <c r="AF37" i="23"/>
  <c r="AD63" i="23"/>
  <c r="AD36" i="23"/>
  <c r="AE45" i="23"/>
  <c r="AD19" i="23"/>
  <c r="AF85" i="23"/>
  <c r="AF34" i="23"/>
  <c r="AE85" i="23"/>
  <c r="AD61" i="23"/>
  <c r="R86" i="23"/>
  <c r="P86" i="23"/>
  <c r="AD84" i="26"/>
  <c r="AF65" i="26"/>
  <c r="J85" i="26"/>
  <c r="J86" i="26" s="1"/>
  <c r="D19" i="4" s="1"/>
  <c r="Z86" i="26"/>
  <c r="M85" i="26"/>
  <c r="M86" i="26" s="1"/>
  <c r="I19" i="4" s="1"/>
  <c r="AF16" i="26"/>
  <c r="AE46" i="26"/>
  <c r="AD22" i="26"/>
  <c r="AD64" i="26"/>
  <c r="AF22" i="26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X84" i="26" s="1"/>
  <c r="X85" i="26" s="1"/>
  <c r="AF84" i="26"/>
  <c r="AE84" i="26"/>
  <c r="AE28" i="26"/>
  <c r="AD62" i="26"/>
  <c r="AB21" i="26"/>
  <c r="AB22" i="26" s="1"/>
  <c r="AB23" i="26" s="1"/>
  <c r="AB24" i="26" s="1"/>
  <c r="AB25" i="26" s="1"/>
  <c r="AB26" i="26" s="1"/>
  <c r="AB27" i="26" s="1"/>
  <c r="AB28" i="26" s="1"/>
  <c r="AB29" i="26" s="1"/>
  <c r="AE80" i="26"/>
  <c r="AB53" i="26"/>
  <c r="AB54" i="26" s="1"/>
  <c r="AB55" i="26" s="1"/>
  <c r="AB56" i="26" s="1"/>
  <c r="AB57" i="26" s="1"/>
  <c r="AB58" i="26" s="1"/>
  <c r="AB59" i="26" s="1"/>
  <c r="AB60" i="26" s="1"/>
  <c r="AB61" i="26" s="1"/>
  <c r="AB62" i="26" s="1"/>
  <c r="AD63" i="26"/>
  <c r="AE79" i="26"/>
  <c r="AE48" i="26"/>
  <c r="AE34" i="26"/>
  <c r="AE26" i="26"/>
  <c r="AE31" i="26"/>
  <c r="U3" i="26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U84" i="26" s="1"/>
  <c r="U85" i="26" s="1"/>
  <c r="AB20" i="26"/>
  <c r="AE2" i="26"/>
  <c r="V3" i="26"/>
  <c r="V4" i="26" s="1"/>
  <c r="V5" i="26" s="1"/>
  <c r="V6" i="26" s="1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V84" i="26" s="1"/>
  <c r="V85" i="26" s="1"/>
  <c r="AD33" i="26"/>
  <c r="AD60" i="26"/>
  <c r="AF25" i="26"/>
  <c r="Y86" i="26"/>
  <c r="AF85" i="26"/>
  <c r="AF23" i="26"/>
  <c r="I86" i="26"/>
  <c r="C19" i="4" s="1"/>
  <c r="AE54" i="26"/>
  <c r="AD81" i="26"/>
  <c r="AE77" i="26"/>
  <c r="AF50" i="26"/>
  <c r="AF32" i="26"/>
  <c r="AE85" i="26"/>
  <c r="AD21" i="26"/>
  <c r="O86" i="26"/>
  <c r="N86" i="27"/>
  <c r="J20" i="4" s="1"/>
  <c r="AE47" i="27"/>
  <c r="AD69" i="27"/>
  <c r="AB49" i="27"/>
  <c r="AB54" i="27"/>
  <c r="AE15" i="27"/>
  <c r="AE12" i="27"/>
  <c r="U4" i="27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U84" i="27" s="1"/>
  <c r="U85" i="27" s="1"/>
  <c r="AB85" i="27"/>
  <c r="P6" i="27"/>
  <c r="P7" i="27" s="1"/>
  <c r="P8" i="27" s="1"/>
  <c r="AE67" i="27"/>
  <c r="AE37" i="27"/>
  <c r="AE83" i="27"/>
  <c r="AD50" i="27"/>
  <c r="AF82" i="27"/>
  <c r="AB75" i="27"/>
  <c r="J3" i="27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J84" i="27" s="1"/>
  <c r="J85" i="27" s="1"/>
  <c r="AB82" i="27"/>
  <c r="M86" i="27"/>
  <c r="I20" i="4" s="1"/>
  <c r="AF42" i="27"/>
  <c r="AF54" i="27"/>
  <c r="AF12" i="27"/>
  <c r="AD85" i="27"/>
  <c r="AD27" i="27"/>
  <c r="S86" i="27"/>
  <c r="Y86" i="27"/>
  <c r="AD84" i="27"/>
  <c r="I86" i="27"/>
  <c r="C20" i="4" s="1"/>
  <c r="AF41" i="27"/>
  <c r="AE48" i="27"/>
  <c r="AF78" i="27"/>
  <c r="AF24" i="27"/>
  <c r="Q86" i="27"/>
  <c r="AA86" i="27" a="1"/>
  <c r="AA86" i="27" s="1"/>
  <c r="AD20" i="27"/>
  <c r="AF77" i="27"/>
  <c r="AF26" i="27"/>
  <c r="AF19" i="27"/>
  <c r="AB69" i="27"/>
  <c r="AB70" i="27" s="1"/>
  <c r="AB71" i="27" s="1"/>
  <c r="AB72" i="27" s="1"/>
  <c r="AB73" i="27" s="1"/>
  <c r="AB74" i="27" s="1"/>
  <c r="AD38" i="27"/>
  <c r="AF16" i="27"/>
  <c r="AD76" i="27"/>
  <c r="AF30" i="27"/>
  <c r="AF2" i="11"/>
  <c r="AA86" i="34" a="1"/>
  <c r="AA86" i="34" s="1"/>
  <c r="AD85" i="34"/>
  <c r="I85" i="34"/>
  <c r="I86" i="34" s="1"/>
  <c r="C42" i="4" s="1"/>
  <c r="L85" i="34"/>
  <c r="L86" i="34" s="1"/>
  <c r="E42" i="4" s="1"/>
  <c r="J6" i="34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J84" i="34" s="1"/>
  <c r="J85" i="34" s="1"/>
  <c r="N85" i="34"/>
  <c r="N86" i="34" s="1"/>
  <c r="J42" i="4" s="1"/>
  <c r="V5" i="34"/>
  <c r="R86" i="34"/>
  <c r="AF59" i="34"/>
  <c r="AE24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Y84" i="34" s="1"/>
  <c r="Y85" i="34" s="1"/>
  <c r="AF85" i="34"/>
  <c r="W86" i="34"/>
  <c r="AE16" i="34"/>
  <c r="AE3" i="34"/>
  <c r="AF61" i="34"/>
  <c r="X3" i="34"/>
  <c r="AF18" i="34"/>
  <c r="AE60" i="34"/>
  <c r="AF30" i="34"/>
  <c r="Q3" i="34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Q84" i="34" s="1"/>
  <c r="Q85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U84" i="34" s="1"/>
  <c r="U85" i="34" s="1"/>
  <c r="AD22" i="34"/>
  <c r="AE21" i="34"/>
  <c r="AB38" i="34"/>
  <c r="AB39" i="34" s="1"/>
  <c r="AD3" i="34"/>
  <c r="AD4" i="34" s="1"/>
  <c r="AD71" i="34"/>
  <c r="AD23" i="34"/>
  <c r="AE63" i="34"/>
  <c r="AD17" i="34"/>
  <c r="AF31" i="34"/>
  <c r="AD84" i="34"/>
  <c r="O86" i="34"/>
  <c r="AD42" i="11"/>
  <c r="AB6" i="11"/>
  <c r="Y86" i="11"/>
  <c r="N85" i="11"/>
  <c r="N86" i="11" s="1"/>
  <c r="J25" i="4" s="1"/>
  <c r="K85" i="11"/>
  <c r="K86" i="11" s="1"/>
  <c r="Z7" i="1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Z84" i="11" s="1"/>
  <c r="Z85" i="11" s="1"/>
  <c r="L85" i="11"/>
  <c r="L86" i="11" s="1"/>
  <c r="E25" i="4" s="1"/>
  <c r="X86" i="11"/>
  <c r="AD40" i="11"/>
  <c r="AF83" i="11"/>
  <c r="AF47" i="11"/>
  <c r="AE39" i="11"/>
  <c r="AD2" i="11"/>
  <c r="AE42" i="11"/>
  <c r="AE48" i="11"/>
  <c r="AE46" i="11"/>
  <c r="AD22" i="11"/>
  <c r="AF84" i="11"/>
  <c r="AE69" i="11"/>
  <c r="AE26" i="11"/>
  <c r="AF26" i="11"/>
  <c r="V86" i="11"/>
  <c r="AF38" i="11"/>
  <c r="AD14" i="11"/>
  <c r="AF85" i="11"/>
  <c r="W86" i="11"/>
  <c r="AF46" i="11"/>
  <c r="AD67" i="11"/>
  <c r="AD48" i="11"/>
  <c r="AD63" i="11"/>
  <c r="AD43" i="11"/>
  <c r="AF53" i="11"/>
  <c r="AE29" i="11"/>
  <c r="AB9" i="1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F48" i="11"/>
  <c r="AD62" i="11"/>
  <c r="AA86" i="11" a="1"/>
  <c r="AA86" i="11" s="1"/>
  <c r="AA86" i="16" a="1"/>
  <c r="AA86" i="16" s="1"/>
  <c r="AF84" i="16"/>
  <c r="AE84" i="16"/>
  <c r="AE85" i="16"/>
  <c r="AD85" i="16"/>
  <c r="M85" i="16"/>
  <c r="M86" i="16" s="1"/>
  <c r="I37" i="4" s="1"/>
  <c r="AE71" i="16"/>
  <c r="AE61" i="16"/>
  <c r="AF85" i="16"/>
  <c r="AE60" i="16"/>
  <c r="AD50" i="16"/>
  <c r="AD58" i="16"/>
  <c r="AD12" i="16"/>
  <c r="AD84" i="16"/>
  <c r="AF72" i="16"/>
  <c r="AE33" i="16"/>
  <c r="AF59" i="16"/>
  <c r="AB28" i="16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W86" i="16"/>
  <c r="AD36" i="16"/>
  <c r="AB4" i="16"/>
  <c r="AB5" i="16" s="1"/>
  <c r="AB6" i="16" s="1"/>
  <c r="AB7" i="16" s="1"/>
  <c r="AB8" i="16" s="1"/>
  <c r="AB9" i="16" s="1"/>
  <c r="AB10" i="16" s="1"/>
  <c r="AB11" i="16" s="1"/>
  <c r="AB12" i="16" s="1"/>
  <c r="AB13" i="16" s="1"/>
  <c r="AB14" i="16" s="1"/>
  <c r="AB15" i="16" s="1"/>
  <c r="AB16" i="16" s="1"/>
  <c r="AD54" i="16"/>
  <c r="AB17" i="16"/>
  <c r="AB18" i="16" s="1"/>
  <c r="AB19" i="16" s="1"/>
  <c r="AD69" i="16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T84" i="16" s="1"/>
  <c r="T85" i="16" s="1"/>
  <c r="AE30" i="16"/>
  <c r="AD65" i="16"/>
  <c r="O86" i="16"/>
  <c r="AF74" i="33"/>
  <c r="AD84" i="33"/>
  <c r="AF84" i="33"/>
  <c r="P4" i="33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P84" i="33" s="1"/>
  <c r="P85" i="33" s="1"/>
  <c r="Y6" i="33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Y84" i="33" s="1"/>
  <c r="Y85" i="33" s="1"/>
  <c r="Q4" i="33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Q84" i="33" s="1"/>
  <c r="Q85" i="33" s="1"/>
  <c r="AD85" i="33"/>
  <c r="AE16" i="33"/>
  <c r="AE84" i="33"/>
  <c r="AD59" i="33"/>
  <c r="AF71" i="33"/>
  <c r="AE52" i="33"/>
  <c r="AE56" i="33"/>
  <c r="AD38" i="33"/>
  <c r="O86" i="33"/>
  <c r="AD70" i="33"/>
  <c r="AE70" i="33"/>
  <c r="U86" i="33"/>
  <c r="S3" i="33"/>
  <c r="S4" i="33" s="1"/>
  <c r="R3" i="33"/>
  <c r="R4" i="33" s="1"/>
  <c r="R5" i="33" s="1"/>
  <c r="R6" i="33" s="1"/>
  <c r="R7" i="33" s="1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R84" i="33" s="1"/>
  <c r="R85" i="33" s="1"/>
  <c r="M86" i="33"/>
  <c r="I41" i="4" s="1"/>
  <c r="AD82" i="33"/>
  <c r="AD31" i="33"/>
  <c r="AD66" i="33"/>
  <c r="AD64" i="33"/>
  <c r="AE29" i="33"/>
  <c r="AF72" i="33"/>
  <c r="AA86" i="33" a="1"/>
  <c r="AA86" i="33" s="1"/>
  <c r="AE15" i="33"/>
  <c r="AF14" i="33"/>
  <c r="AE74" i="33"/>
  <c r="AE49" i="33"/>
  <c r="AF57" i="33"/>
  <c r="AB46" i="33"/>
  <c r="AF68" i="7"/>
  <c r="X85" i="7"/>
  <c r="X86" i="7" s="1"/>
  <c r="S4" i="7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S84" i="7" s="1"/>
  <c r="S85" i="7" s="1"/>
  <c r="U4" i="7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U24" i="7" s="1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U84" i="7" s="1"/>
  <c r="U85" i="7" s="1"/>
  <c r="Y4" i="7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Y84" i="7" s="1"/>
  <c r="Y85" i="7" s="1"/>
  <c r="M86" i="7"/>
  <c r="I4" i="4" s="1"/>
  <c r="L86" i="7"/>
  <c r="E4" i="4" s="1"/>
  <c r="K86" i="7"/>
  <c r="J4" i="7"/>
  <c r="J5" i="7" s="1"/>
  <c r="J6" i="7" s="1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J84" i="7" s="1"/>
  <c r="J85" i="7" s="1"/>
  <c r="AD73" i="7"/>
  <c r="AD56" i="7"/>
  <c r="V86" i="7"/>
  <c r="O86" i="7"/>
  <c r="AE13" i="7"/>
  <c r="AF51" i="7"/>
  <c r="AD84" i="7"/>
  <c r="AF78" i="7"/>
  <c r="AF32" i="7"/>
  <c r="AB3" i="7"/>
  <c r="AB4" i="7" s="1"/>
  <c r="AB5" i="7" s="1"/>
  <c r="AB6" i="7" s="1"/>
  <c r="AB7" i="7" s="1"/>
  <c r="AB8" i="7" s="1"/>
  <c r="AB9" i="7" s="1"/>
  <c r="AB10" i="7" s="1"/>
  <c r="AB11" i="7" s="1"/>
  <c r="AB12" i="7" s="1"/>
  <c r="AB13" i="7" s="1"/>
  <c r="AB14" i="7" s="1"/>
  <c r="AB15" i="7" s="1"/>
  <c r="AB16" i="7" s="1"/>
  <c r="AB17" i="7" s="1"/>
  <c r="AB18" i="7" s="1"/>
  <c r="AB19" i="7" s="1"/>
  <c r="AB20" i="7" s="1"/>
  <c r="AB21" i="7" s="1"/>
  <c r="AB22" i="7" s="1"/>
  <c r="AB23" i="7" s="1"/>
  <c r="AB24" i="7" s="1"/>
  <c r="AB25" i="7" s="1"/>
  <c r="AB26" i="7" s="1"/>
  <c r="AB27" i="7" s="1"/>
  <c r="AB28" i="7" s="1"/>
  <c r="AB29" i="7" s="1"/>
  <c r="AB30" i="7" s="1"/>
  <c r="AB31" i="7" s="1"/>
  <c r="AB32" i="7" s="1"/>
  <c r="AB33" i="7" s="1"/>
  <c r="AB34" i="7" s="1"/>
  <c r="AB35" i="7" s="1"/>
  <c r="AB36" i="7" s="1"/>
  <c r="AB37" i="7" s="1"/>
  <c r="P86" i="7"/>
  <c r="AD32" i="7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Z84" i="7" s="1"/>
  <c r="Z85" i="7" s="1"/>
  <c r="AF74" i="7"/>
  <c r="AD85" i="7"/>
  <c r="AE3" i="7"/>
  <c r="W86" i="7"/>
  <c r="AA86" i="7" a="1"/>
  <c r="AA86" i="7" s="1"/>
  <c r="AD68" i="7"/>
  <c r="AE39" i="7"/>
  <c r="AD55" i="7"/>
  <c r="AE79" i="7"/>
  <c r="AE25" i="7"/>
  <c r="AD30" i="7"/>
  <c r="AE18" i="24"/>
  <c r="AD84" i="24"/>
  <c r="X9" i="24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X84" i="24" s="1"/>
  <c r="X85" i="24" s="1"/>
  <c r="L85" i="24"/>
  <c r="L86" i="24" s="1"/>
  <c r="E18" i="4" s="1"/>
  <c r="K85" i="24"/>
  <c r="K86" i="24" s="1"/>
  <c r="R8" i="24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R84" i="24" s="1"/>
  <c r="R85" i="24" s="1"/>
  <c r="AF43" i="24"/>
  <c r="AD15" i="24"/>
  <c r="AD78" i="24"/>
  <c r="AF41" i="24"/>
  <c r="AD83" i="24"/>
  <c r="AD65" i="24"/>
  <c r="P4" i="24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P84" i="24" s="1"/>
  <c r="P85" i="24" s="1"/>
  <c r="AE14" i="24"/>
  <c r="O4" i="24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O84" i="24" s="1"/>
  <c r="O85" i="24" s="1"/>
  <c r="AD43" i="24"/>
  <c r="U86" i="24"/>
  <c r="AA86" i="24" a="1"/>
  <c r="AA86" i="24" s="1"/>
  <c r="AF57" i="24"/>
  <c r="AF21" i="24"/>
  <c r="AD46" i="24"/>
  <c r="AF61" i="24"/>
  <c r="AB3" i="24"/>
  <c r="AE81" i="24"/>
  <c r="Z86" i="24"/>
  <c r="AF49" i="24"/>
  <c r="V86" i="24"/>
  <c r="Y86" i="24"/>
  <c r="AF60" i="24"/>
  <c r="AE12" i="24"/>
  <c r="AB6" i="24"/>
  <c r="AD85" i="24"/>
  <c r="T86" i="24"/>
  <c r="AF2" i="32"/>
  <c r="C88" i="32"/>
  <c r="AB16" i="32"/>
  <c r="AE13" i="32"/>
  <c r="Y4" i="32"/>
  <c r="Y5" i="32" s="1"/>
  <c r="Y6" i="32" s="1"/>
  <c r="Y7" i="32" s="1"/>
  <c r="Y8" i="32" s="1"/>
  <c r="W4" i="32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W84" i="32" s="1"/>
  <c r="W85" i="32" s="1"/>
  <c r="AE23" i="32"/>
  <c r="AD21" i="32"/>
  <c r="AD15" i="32"/>
  <c r="AD30" i="32"/>
  <c r="Z86" i="32"/>
  <c r="AE46" i="32"/>
  <c r="AD3" i="32"/>
  <c r="AD4" i="32" s="1"/>
  <c r="AD5" i="32" s="1"/>
  <c r="AD6" i="32" s="1"/>
  <c r="AD7" i="32" s="1"/>
  <c r="AD8" i="32" s="1"/>
  <c r="AD9" i="32" s="1"/>
  <c r="AD10" i="32" s="1"/>
  <c r="AD11" i="32" s="1"/>
  <c r="AB3" i="32"/>
  <c r="AF24" i="32"/>
  <c r="AF23" i="32"/>
  <c r="AF14" i="32"/>
  <c r="AB28" i="32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X86" i="32"/>
  <c r="AD85" i="32"/>
  <c r="AB80" i="32"/>
  <c r="AB81" i="32" s="1"/>
  <c r="AB82" i="32" s="1"/>
  <c r="AB83" i="32" s="1"/>
  <c r="AB84" i="32" s="1"/>
  <c r="AE76" i="32"/>
  <c r="AD18" i="32"/>
  <c r="AD84" i="32"/>
  <c r="AF81" i="32"/>
  <c r="L3" i="32"/>
  <c r="L4" i="32" s="1"/>
  <c r="L5" i="32" s="1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L84" i="32" s="1"/>
  <c r="L85" i="32" s="1"/>
  <c r="AE69" i="32"/>
  <c r="AF71" i="32"/>
  <c r="AD62" i="32"/>
  <c r="AE43" i="32"/>
  <c r="AA86" i="32" a="1"/>
  <c r="AA86" i="32" s="1"/>
  <c r="R86" i="32"/>
  <c r="Q86" i="32"/>
  <c r="AD85" i="20"/>
  <c r="AD82" i="20"/>
  <c r="AA86" i="20" a="1"/>
  <c r="AA86" i="20" s="1"/>
  <c r="AD12" i="20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N84" i="20" s="1"/>
  <c r="N85" i="20" s="1"/>
  <c r="R4" i="20"/>
  <c r="R5" i="20" s="1"/>
  <c r="AF84" i="20"/>
  <c r="AD84" i="20"/>
  <c r="X3" i="20"/>
  <c r="AE55" i="20"/>
  <c r="W3" i="20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W84" i="20" s="1"/>
  <c r="W85" i="20" s="1"/>
  <c r="U86" i="20"/>
  <c r="AF56" i="20"/>
  <c r="AB65" i="20"/>
  <c r="AB66" i="20" s="1"/>
  <c r="AB67" i="20" s="1"/>
  <c r="AB68" i="20" s="1"/>
  <c r="AB69" i="20" s="1"/>
  <c r="AB70" i="20" s="1"/>
  <c r="AF63" i="20"/>
  <c r="AD54" i="20"/>
  <c r="AB72" i="20"/>
  <c r="AB73" i="20" s="1"/>
  <c r="AB74" i="20" s="1"/>
  <c r="AB75" i="20" s="1"/>
  <c r="AB76" i="20" s="1"/>
  <c r="AB77" i="20" s="1"/>
  <c r="AB78" i="20" s="1"/>
  <c r="AB79" i="20" s="1"/>
  <c r="AB80" i="20" s="1"/>
  <c r="AB81" i="20" s="1"/>
  <c r="AB82" i="20" s="1"/>
  <c r="AB83" i="20" s="1"/>
  <c r="AB84" i="20" s="1"/>
  <c r="AB85" i="20" s="1"/>
  <c r="O3" i="20"/>
  <c r="AB62" i="20"/>
  <c r="AD78" i="20"/>
  <c r="AF75" i="20"/>
  <c r="AD76" i="20"/>
  <c r="AF76" i="20"/>
  <c r="AF50" i="20"/>
  <c r="AB24" i="20"/>
  <c r="AB25" i="20" s="1"/>
  <c r="AB26" i="20" s="1"/>
  <c r="AB27" i="20" s="1"/>
  <c r="AB28" i="20" s="1"/>
  <c r="AB29" i="20" s="1"/>
  <c r="AB30" i="20" s="1"/>
  <c r="AB31" i="20" s="1"/>
  <c r="AB32" i="20" s="1"/>
  <c r="AB33" i="20" s="1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B59" i="20" s="1"/>
  <c r="AB60" i="20" s="1"/>
  <c r="AD16" i="20"/>
  <c r="AF85" i="20"/>
  <c r="AF62" i="20"/>
  <c r="P3" i="20"/>
  <c r="P4" i="20" s="1"/>
  <c r="P5" i="20" s="1"/>
  <c r="Z86" i="20"/>
  <c r="AF59" i="20"/>
  <c r="AF40" i="20"/>
  <c r="T86" i="20"/>
  <c r="AD54" i="10"/>
  <c r="AA86" i="10" a="1"/>
  <c r="AA86" i="10" s="1"/>
  <c r="AE39" i="10"/>
  <c r="AD46" i="10"/>
  <c r="AD21" i="10"/>
  <c r="AD13" i="10"/>
  <c r="J86" i="10"/>
  <c r="D14" i="4" s="1"/>
  <c r="AF85" i="10"/>
  <c r="AB55" i="10"/>
  <c r="AB21" i="10"/>
  <c r="AD20" i="10"/>
  <c r="AE62" i="10"/>
  <c r="P3" i="10"/>
  <c r="P4" i="10" s="1"/>
  <c r="P5" i="10" s="1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P84" i="10" s="1"/>
  <c r="P85" i="10" s="1"/>
  <c r="I86" i="10"/>
  <c r="C14" i="4" s="1"/>
  <c r="V86" i="10"/>
  <c r="Z86" i="10"/>
  <c r="AD49" i="10"/>
  <c r="AD31" i="10"/>
  <c r="AE56" i="10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T84" i="10" s="1"/>
  <c r="T85" i="10" s="1"/>
  <c r="AD62" i="10"/>
  <c r="AF27" i="10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R84" i="10" s="1"/>
  <c r="R85" i="10" s="1"/>
  <c r="AF84" i="10"/>
  <c r="AD26" i="10"/>
  <c r="AB5" i="10"/>
  <c r="AB6" i="10" s="1"/>
  <c r="AB7" i="10" s="1"/>
  <c r="AB8" i="10" s="1"/>
  <c r="AB9" i="10" s="1"/>
  <c r="AB10" i="10" s="1"/>
  <c r="AB11" i="10" s="1"/>
  <c r="AB12" i="10" s="1"/>
  <c r="AB13" i="10" s="1"/>
  <c r="AB14" i="10" s="1"/>
  <c r="AB15" i="10" s="1"/>
  <c r="AB16" i="10" s="1"/>
  <c r="AB17" i="10" s="1"/>
  <c r="AB18" i="10" s="1"/>
  <c r="AD75" i="10"/>
  <c r="AB34" i="10"/>
  <c r="AB35" i="10" s="1"/>
  <c r="AB36" i="10" s="1"/>
  <c r="AB37" i="10" s="1"/>
  <c r="AB38" i="10" s="1"/>
  <c r="AB39" i="10" s="1"/>
  <c r="AB40" i="10" s="1"/>
  <c r="AB41" i="10" s="1"/>
  <c r="AB42" i="10" s="1"/>
  <c r="AD25" i="10"/>
  <c r="AD41" i="10"/>
  <c r="AD57" i="10"/>
  <c r="AD61" i="10"/>
  <c r="AF67" i="10"/>
  <c r="AB25" i="10"/>
  <c r="Q86" i="10"/>
  <c r="S86" i="10"/>
  <c r="AE65" i="17"/>
  <c r="AA86" i="17" a="1"/>
  <c r="AA86" i="17" s="1"/>
  <c r="J7" i="17"/>
  <c r="J8" i="17" s="1"/>
  <c r="J9" i="17" s="1"/>
  <c r="V4" i="17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V84" i="17" s="1"/>
  <c r="V85" i="17" s="1"/>
  <c r="AF65" i="17"/>
  <c r="X86" i="17"/>
  <c r="AE85" i="17"/>
  <c r="AD41" i="17"/>
  <c r="L86" i="17"/>
  <c r="E7" i="4" s="1"/>
  <c r="AF35" i="17"/>
  <c r="AF63" i="17"/>
  <c r="U86" i="17"/>
  <c r="AF70" i="17"/>
  <c r="AD69" i="17"/>
  <c r="AE32" i="17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P84" i="17" s="1"/>
  <c r="P85" i="17" s="1"/>
  <c r="Y86" i="17"/>
  <c r="AD84" i="17"/>
  <c r="AF71" i="17"/>
  <c r="Q86" i="17"/>
  <c r="AF49" i="17"/>
  <c r="AF83" i="17"/>
  <c r="AF36" i="17"/>
  <c r="AB4" i="17"/>
  <c r="AF30" i="17"/>
  <c r="AF84" i="5"/>
  <c r="AF73" i="5"/>
  <c r="AE85" i="5"/>
  <c r="AE38" i="5"/>
  <c r="AD21" i="5"/>
  <c r="AE18" i="5"/>
  <c r="AA86" i="5" a="1"/>
  <c r="AA86" i="5" s="1"/>
  <c r="AD84" i="5"/>
  <c r="J86" i="5"/>
  <c r="D35" i="4" s="1"/>
  <c r="AD14" i="5"/>
  <c r="P4" i="5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P84" i="5" s="1"/>
  <c r="P85" i="5" s="1"/>
  <c r="Y86" i="5"/>
  <c r="X86" i="5"/>
  <c r="V86" i="5"/>
  <c r="AE84" i="5"/>
  <c r="AD37" i="5"/>
  <c r="Q86" i="5"/>
  <c r="AF18" i="5"/>
  <c r="AF85" i="5"/>
  <c r="U86" i="5"/>
  <c r="AD77" i="5"/>
  <c r="AD66" i="5"/>
  <c r="AF46" i="5"/>
  <c r="AE74" i="5"/>
  <c r="AD85" i="5"/>
  <c r="AD25" i="5"/>
  <c r="AF63" i="5"/>
  <c r="AD60" i="5"/>
  <c r="AE79" i="5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O84" i="5" s="1"/>
  <c r="O85" i="5" s="1"/>
  <c r="AD23" i="5"/>
  <c r="M86" i="5"/>
  <c r="I35" i="4" s="1"/>
  <c r="AF53" i="5"/>
  <c r="AE14" i="5"/>
  <c r="AF80" i="5"/>
  <c r="AD22" i="5"/>
  <c r="AF49" i="5"/>
  <c r="AD61" i="5"/>
  <c r="W86" i="5"/>
  <c r="AD30" i="5"/>
  <c r="AF85" i="36"/>
  <c r="AF84" i="34"/>
  <c r="AF85" i="32"/>
  <c r="AF84" i="30"/>
  <c r="AF85" i="27"/>
  <c r="AF84" i="25"/>
  <c r="AF85" i="22"/>
  <c r="AF85" i="12"/>
  <c r="AF85" i="7"/>
  <c r="AE85" i="36"/>
  <c r="AE84" i="34"/>
  <c r="AE85" i="32"/>
  <c r="AE84" i="30"/>
  <c r="AE85" i="12"/>
  <c r="AE85" i="7"/>
  <c r="AF84" i="36"/>
  <c r="AF85" i="33"/>
  <c r="AF84" i="32"/>
  <c r="AF85" i="29"/>
  <c r="AF84" i="27"/>
  <c r="AF85" i="24"/>
  <c r="AF84" i="22"/>
  <c r="AF85" i="19"/>
  <c r="AF84" i="17"/>
  <c r="AF85" i="14"/>
  <c r="AF84" i="12"/>
  <c r="AF85" i="9"/>
  <c r="AF84" i="7"/>
  <c r="AE84" i="36"/>
  <c r="AE85" i="33"/>
  <c r="AE84" i="32"/>
  <c r="AE85" i="29"/>
  <c r="AE84" i="27"/>
  <c r="AE85" i="24"/>
  <c r="AE84" i="22"/>
  <c r="AE85" i="19"/>
  <c r="AE84" i="17"/>
  <c r="AE85" i="14"/>
  <c r="AE84" i="12"/>
  <c r="AE85" i="9"/>
  <c r="AE84" i="7"/>
  <c r="C88" i="26"/>
  <c r="C88" i="34"/>
  <c r="C88" i="22"/>
  <c r="Q31" i="4"/>
  <c r="C88" i="9"/>
  <c r="AF70" i="12"/>
  <c r="AD76" i="14"/>
  <c r="AD29" i="15"/>
  <c r="AF44" i="20"/>
  <c r="AD41" i="29"/>
  <c r="AF70" i="33"/>
  <c r="C88" i="6"/>
  <c r="AD73" i="5"/>
  <c r="AF35" i="6"/>
  <c r="AF69" i="11"/>
  <c r="AF22" i="11"/>
  <c r="C88" i="13"/>
  <c r="AF68" i="18"/>
  <c r="AF25" i="19"/>
  <c r="AD17" i="19"/>
  <c r="AD37" i="20"/>
  <c r="AF31" i="23"/>
  <c r="AF60" i="26"/>
  <c r="AE76" i="28"/>
  <c r="AF33" i="29"/>
  <c r="Q37" i="4"/>
  <c r="AF2" i="7"/>
  <c r="AE22" i="11"/>
  <c r="AD63" i="17"/>
  <c r="AE37" i="23"/>
  <c r="AE31" i="23"/>
  <c r="AE2" i="25"/>
  <c r="Q39" i="4"/>
  <c r="AF3" i="33"/>
  <c r="AE44" i="22"/>
  <c r="AF75" i="28"/>
  <c r="AD56" i="10"/>
  <c r="AD44" i="22"/>
  <c r="AF83" i="24"/>
  <c r="AF2" i="26"/>
  <c r="AF3" i="26" s="1"/>
  <c r="AF4" i="26" s="1"/>
  <c r="AF5" i="26" s="1"/>
  <c r="AF6" i="26" s="1"/>
  <c r="AF7" i="26" s="1"/>
  <c r="AF8" i="26" s="1"/>
  <c r="AF9" i="26" s="1"/>
  <c r="AF10" i="26" s="1"/>
  <c r="AF11" i="26" s="1"/>
  <c r="AD78" i="27"/>
  <c r="AE75" i="28"/>
  <c r="AF55" i="29"/>
  <c r="AF3" i="30"/>
  <c r="AE58" i="34"/>
  <c r="AF17" i="34"/>
  <c r="AD58" i="34"/>
  <c r="AF57" i="35"/>
  <c r="AF25" i="35"/>
  <c r="AB32" i="10"/>
  <c r="Q9" i="4"/>
  <c r="AF79" i="19"/>
  <c r="AF42" i="11"/>
  <c r="AE21" i="11"/>
  <c r="C88" i="12"/>
  <c r="AD59" i="20"/>
  <c r="AF54" i="29"/>
  <c r="AE18" i="32"/>
  <c r="AE4" i="34"/>
  <c r="AB3" i="17"/>
  <c r="AF47" i="27"/>
  <c r="AB3" i="21"/>
  <c r="AF42" i="22"/>
  <c r="AD54" i="27"/>
  <c r="AF27" i="28"/>
  <c r="AF22" i="29"/>
  <c r="AF23" i="34"/>
  <c r="C88" i="11"/>
  <c r="AB8" i="13"/>
  <c r="AB9" i="13" s="1"/>
  <c r="AB10" i="13" s="1"/>
  <c r="AB11" i="13" s="1"/>
  <c r="AB12" i="13" s="1"/>
  <c r="AB13" i="13" s="1"/>
  <c r="AB14" i="13" s="1"/>
  <c r="AB15" i="13" s="1"/>
  <c r="AB16" i="13" s="1"/>
  <c r="AB17" i="13" s="1"/>
  <c r="AB18" i="13" s="1"/>
  <c r="AB19" i="13" s="1"/>
  <c r="AB20" i="13" s="1"/>
  <c r="C88" i="16"/>
  <c r="AE52" i="21"/>
  <c r="AE42" i="22"/>
  <c r="AE31" i="31"/>
  <c r="AF52" i="21"/>
  <c r="AE60" i="10"/>
  <c r="AE52" i="6"/>
  <c r="AF37" i="9"/>
  <c r="AD25" i="15"/>
  <c r="AE23" i="26"/>
  <c r="AF71" i="28"/>
  <c r="AF55" i="35"/>
  <c r="AB44" i="1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B72" i="11" s="1"/>
  <c r="AB73" i="11" s="1"/>
  <c r="AB74" i="11" s="1"/>
  <c r="AB75" i="11" s="1"/>
  <c r="AB76" i="11" s="1"/>
  <c r="AB77" i="11" s="1"/>
  <c r="AB78" i="11" s="1"/>
  <c r="AB79" i="11" s="1"/>
  <c r="AB80" i="11" s="1"/>
  <c r="AB81" i="11" s="1"/>
  <c r="AB82" i="11" s="1"/>
  <c r="AB83" i="11" s="1"/>
  <c r="AB84" i="11" s="1"/>
  <c r="AE18" i="18"/>
  <c r="AE30" i="5"/>
  <c r="AB38" i="7"/>
  <c r="AB39" i="7" s="1"/>
  <c r="AF18" i="11"/>
  <c r="AD70" i="18"/>
  <c r="AD35" i="19"/>
  <c r="C88" i="21"/>
  <c r="AF56" i="22"/>
  <c r="AF68" i="24"/>
  <c r="AF50" i="27"/>
  <c r="AF74" i="35"/>
  <c r="AE55" i="35"/>
  <c r="AF56" i="33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D46" i="7"/>
  <c r="AF63" i="22"/>
  <c r="AF51" i="31"/>
  <c r="AD3" i="31"/>
  <c r="AF33" i="36"/>
  <c r="AE2" i="36"/>
  <c r="AE3" i="36" s="1"/>
  <c r="AF2" i="12"/>
  <c r="AF3" i="12" s="1"/>
  <c r="AE2" i="12"/>
  <c r="AE3" i="12" s="1"/>
  <c r="AE4" i="12" s="1"/>
  <c r="AE5" i="12" s="1"/>
  <c r="AE6" i="12" s="1"/>
  <c r="AE7" i="12" s="1"/>
  <c r="AE8" i="12" s="1"/>
  <c r="AE9" i="12" s="1"/>
  <c r="AE10" i="12" s="1"/>
  <c r="AE11" i="12" s="1"/>
  <c r="Q42" i="4"/>
  <c r="C88" i="5"/>
  <c r="AD3" i="8"/>
  <c r="AD4" i="8" s="1"/>
  <c r="AD5" i="8" s="1"/>
  <c r="AE79" i="12"/>
  <c r="AF2" i="13"/>
  <c r="AF3" i="13" s="1"/>
  <c r="AD56" i="15"/>
  <c r="AF55" i="20"/>
  <c r="AD67" i="23"/>
  <c r="AF78" i="24"/>
  <c r="AF18" i="24"/>
  <c r="AF3" i="28"/>
  <c r="AF4" i="28" s="1"/>
  <c r="AF5" i="28" s="1"/>
  <c r="AF6" i="28" s="1"/>
  <c r="AF7" i="28" s="1"/>
  <c r="AF8" i="28" s="1"/>
  <c r="AF9" i="28" s="1"/>
  <c r="AF10" i="28" s="1"/>
  <c r="AF11" i="28" s="1"/>
  <c r="AE12" i="29"/>
  <c r="Q32" i="4"/>
  <c r="Q16" i="4"/>
  <c r="Q6" i="4"/>
  <c r="Q35" i="4"/>
  <c r="AE54" i="5"/>
  <c r="AD53" i="5"/>
  <c r="AE52" i="5"/>
  <c r="Q18" i="4"/>
  <c r="AF40" i="35"/>
  <c r="AB60" i="19"/>
  <c r="AB61" i="19" s="1"/>
  <c r="AB62" i="19" s="1"/>
  <c r="AB63" i="19" s="1"/>
  <c r="AB64" i="19" s="1"/>
  <c r="AB65" i="19" s="1"/>
  <c r="AB66" i="19" s="1"/>
  <c r="AB67" i="19" s="1"/>
  <c r="AB68" i="19" s="1"/>
  <c r="AB69" i="19" s="1"/>
  <c r="AB70" i="19" s="1"/>
  <c r="AB71" i="19" s="1"/>
  <c r="AB72" i="19" s="1"/>
  <c r="AB73" i="19" s="1"/>
  <c r="AB74" i="19" s="1"/>
  <c r="AB75" i="19" s="1"/>
  <c r="AB76" i="19" s="1"/>
  <c r="AB77" i="19" s="1"/>
  <c r="AB78" i="19" s="1"/>
  <c r="C29" i="4"/>
  <c r="AE57" i="35"/>
  <c r="Q7" i="4"/>
  <c r="C88" i="24"/>
  <c r="AB50" i="27"/>
  <c r="AB51" i="27" s="1"/>
  <c r="AB52" i="27" s="1"/>
  <c r="AF37" i="17"/>
  <c r="AD47" i="19"/>
  <c r="AF62" i="23"/>
  <c r="AF39" i="27"/>
  <c r="AE62" i="32"/>
  <c r="AF47" i="35"/>
  <c r="AE78" i="36"/>
  <c r="AF66" i="36"/>
  <c r="C88" i="17"/>
  <c r="AB72" i="17"/>
  <c r="AB73" i="17" s="1"/>
  <c r="AB74" i="17" s="1"/>
  <c r="AB75" i="17" s="1"/>
  <c r="AB76" i="17" s="1"/>
  <c r="AE39" i="27"/>
  <c r="AD22" i="27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7" i="27" s="1"/>
  <c r="AD8" i="27" s="1"/>
  <c r="AD9" i="27" s="1"/>
  <c r="AD10" i="27" s="1"/>
  <c r="AD11" i="27" s="1"/>
  <c r="AD3" i="21"/>
  <c r="AD4" i="21" s="1"/>
  <c r="AD5" i="21" s="1"/>
  <c r="AD6" i="21" s="1"/>
  <c r="AD7" i="21" s="1"/>
  <c r="AD8" i="21" s="1"/>
  <c r="AD9" i="21" s="1"/>
  <c r="AD10" i="21" s="1"/>
  <c r="AD11" i="21" s="1"/>
  <c r="AF61" i="23"/>
  <c r="AF51" i="25"/>
  <c r="AF31" i="26"/>
  <c r="AF70" i="21"/>
  <c r="AB2" i="21"/>
  <c r="C88" i="30"/>
  <c r="AE3" i="24"/>
  <c r="AB4" i="32"/>
  <c r="AB5" i="32" s="1"/>
  <c r="AB6" i="32" s="1"/>
  <c r="AB7" i="32" s="1"/>
  <c r="AB8" i="32" s="1"/>
  <c r="AB9" i="32" s="1"/>
  <c r="AB10" i="32" s="1"/>
  <c r="AB11" i="32" s="1"/>
  <c r="AB12" i="32" s="1"/>
  <c r="AE62" i="17"/>
  <c r="AD26" i="17"/>
  <c r="AE80" i="18"/>
  <c r="AE71" i="19"/>
  <c r="AF54" i="20"/>
  <c r="AF38" i="23"/>
  <c r="AD81" i="24"/>
  <c r="AF62" i="26"/>
  <c r="AF2" i="30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8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D69" i="32"/>
  <c r="C88" i="33"/>
  <c r="AF79" i="26"/>
  <c r="AE58" i="20"/>
  <c r="AF30" i="26"/>
  <c r="AB40" i="34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42" i="30"/>
  <c r="AB43" i="30" s="1"/>
  <c r="Q10" i="4"/>
  <c r="AF20" i="18"/>
  <c r="AF66" i="21"/>
  <c r="AB38" i="23"/>
  <c r="AB39" i="23" s="1"/>
  <c r="AB40" i="23" s="1"/>
  <c r="AB41" i="23" s="1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B54" i="23" s="1"/>
  <c r="AB55" i="23" s="1"/>
  <c r="AB56" i="23" s="1"/>
  <c r="AB57" i="23" s="1"/>
  <c r="AD18" i="23"/>
  <c r="AE78" i="24"/>
  <c r="AD77" i="26"/>
  <c r="AE54" i="29"/>
  <c r="AE33" i="29"/>
  <c r="AE12" i="30"/>
  <c r="AE71" i="34"/>
  <c r="C88" i="35"/>
  <c r="AF19" i="36"/>
  <c r="AB78" i="17"/>
  <c r="AB79" i="17" s="1"/>
  <c r="AB80" i="17" s="1"/>
  <c r="AB22" i="20"/>
  <c r="AE66" i="21"/>
  <c r="AF57" i="25"/>
  <c r="AE3" i="28"/>
  <c r="AF17" i="23"/>
  <c r="AE60" i="26"/>
  <c r="AE3" i="26"/>
  <c r="AE4" i="26" s="1"/>
  <c r="AE5" i="26" s="1"/>
  <c r="AE6" i="26" s="1"/>
  <c r="AE7" i="26" s="1"/>
  <c r="AE8" i="26" s="1"/>
  <c r="AE9" i="26" s="1"/>
  <c r="AE10" i="26" s="1"/>
  <c r="AE11" i="26" s="1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F5" i="34" s="1"/>
  <c r="AF6" i="34" s="1"/>
  <c r="AF7" i="34" s="1"/>
  <c r="AF8" i="34" s="1"/>
  <c r="AF9" i="34" s="1"/>
  <c r="AF10" i="34" s="1"/>
  <c r="AF11" i="34" s="1"/>
  <c r="AE68" i="18"/>
  <c r="AE42" i="19"/>
  <c r="AD17" i="23"/>
  <c r="AF28" i="28"/>
  <c r="AE2" i="34"/>
  <c r="AD35" i="36"/>
  <c r="Q38" i="4"/>
  <c r="Q20" i="4"/>
  <c r="AD28" i="20"/>
  <c r="AF44" i="22"/>
  <c r="AB56" i="25"/>
  <c r="AB2" i="26"/>
  <c r="AB3" i="26" s="1"/>
  <c r="AB4" i="26" s="1"/>
  <c r="AB5" i="26" s="1"/>
  <c r="AB6" i="26" s="1"/>
  <c r="AB7" i="26" s="1"/>
  <c r="AB8" i="26" s="1"/>
  <c r="AB9" i="26" s="1"/>
  <c r="AB10" i="26" s="1"/>
  <c r="AB11" i="26" s="1"/>
  <c r="AB12" i="26" s="1"/>
  <c r="AB13" i="26" s="1"/>
  <c r="AB14" i="26" s="1"/>
  <c r="AB15" i="26" s="1"/>
  <c r="AB16" i="26" s="1"/>
  <c r="AB17" i="26" s="1"/>
  <c r="AB18" i="26" s="1"/>
  <c r="AB19" i="26" s="1"/>
  <c r="AB13" i="32"/>
  <c r="AF2" i="35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B68" i="13"/>
  <c r="AB69" i="13" s="1"/>
  <c r="AB70" i="13" s="1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B84" i="13" s="1"/>
  <c r="AE62" i="13"/>
  <c r="AB32" i="12"/>
  <c r="AB33" i="12" s="1"/>
  <c r="AB34" i="12" s="1"/>
  <c r="Q26" i="4"/>
  <c r="AD58" i="12"/>
  <c r="Q25" i="4"/>
  <c r="AE40" i="11"/>
  <c r="AF62" i="11"/>
  <c r="AE62" i="11"/>
  <c r="AD58" i="11"/>
  <c r="AE34" i="11"/>
  <c r="AB26" i="10"/>
  <c r="AB27" i="10" s="1"/>
  <c r="AF54" i="10"/>
  <c r="AE54" i="10"/>
  <c r="AF62" i="10"/>
  <c r="AF21" i="10"/>
  <c r="AF20" i="10"/>
  <c r="AF39" i="10"/>
  <c r="AB29" i="10"/>
  <c r="AB30" i="10" s="1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Q36" i="4"/>
  <c r="AD71" i="9"/>
  <c r="AD69" i="9"/>
  <c r="AB5" i="9"/>
  <c r="AB68" i="8"/>
  <c r="AB53" i="8"/>
  <c r="AB54" i="8" s="1"/>
  <c r="AB55" i="8" s="1"/>
  <c r="AB56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E21" i="7"/>
  <c r="AE74" i="7"/>
  <c r="AB50" i="7"/>
  <c r="AB51" i="7" s="1"/>
  <c r="AB52" i="7" s="1"/>
  <c r="AB53" i="7" s="1"/>
  <c r="AB54" i="7" s="1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D15" i="6"/>
  <c r="AF34" i="6"/>
  <c r="AF22" i="6"/>
  <c r="AE32" i="6"/>
  <c r="AF52" i="5"/>
  <c r="AE66" i="5"/>
  <c r="AF60" i="5"/>
  <c r="AE60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84" i="7" s="1"/>
  <c r="T85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T84" i="5" s="1"/>
  <c r="T85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Q84" i="7" s="1"/>
  <c r="Q85" i="7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R84" i="5" s="1"/>
  <c r="R85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M84" i="6" s="1"/>
  <c r="M85" i="6" s="1"/>
  <c r="AD44" i="5"/>
  <c r="AE44" i="5"/>
  <c r="AF31" i="5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Z4" i="5"/>
  <c r="AD50" i="6"/>
  <c r="AE45" i="6"/>
  <c r="AF40" i="7"/>
  <c r="AE40" i="7"/>
  <c r="AE49" i="7"/>
  <c r="AD44" i="7"/>
  <c r="AF48" i="7"/>
  <c r="AD40" i="7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Y84" i="8" s="1"/>
  <c r="Y85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C35" i="4"/>
  <c r="AD45" i="6"/>
  <c r="AE40" i="6"/>
  <c r="AE47" i="6"/>
  <c r="AD81" i="5"/>
  <c r="AD70" i="5"/>
  <c r="AD38" i="5"/>
  <c r="AB3" i="6"/>
  <c r="AB4" i="6" s="1"/>
  <c r="AF46" i="7"/>
  <c r="AD83" i="8"/>
  <c r="AF82" i="8"/>
  <c r="AD80" i="8"/>
  <c r="AF80" i="8"/>
  <c r="AF64" i="8"/>
  <c r="AE63" i="6"/>
  <c r="AD54" i="6"/>
  <c r="AF54" i="6"/>
  <c r="AD58" i="5"/>
  <c r="AE58" i="5"/>
  <c r="AD49" i="5"/>
  <c r="AE49" i="5"/>
  <c r="AE39" i="5"/>
  <c r="AF30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N84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N84" i="7" s="1"/>
  <c r="N85" i="7" s="1"/>
  <c r="N86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Q84" i="9" s="1"/>
  <c r="Q85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Y84" i="9" s="1"/>
  <c r="Y85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R84" i="7" s="1"/>
  <c r="R85" i="7" s="1"/>
  <c r="Q29" i="4"/>
  <c r="AD67" i="6"/>
  <c r="AE67" i="6"/>
  <c r="AF76" i="6"/>
  <c r="AD40" i="8"/>
  <c r="AF40" i="8"/>
  <c r="AE31" i="8"/>
  <c r="AD38" i="8"/>
  <c r="AE38" i="8"/>
  <c r="AF36" i="8"/>
  <c r="AD39" i="8"/>
  <c r="AF39" i="8"/>
  <c r="AD31" i="8"/>
  <c r="AF37" i="8"/>
  <c r="AE39" i="8"/>
  <c r="AE73" i="5"/>
  <c r="AF66" i="5"/>
  <c r="AD48" i="5"/>
  <c r="AE48" i="5"/>
  <c r="AF48" i="5"/>
  <c r="AD56" i="5"/>
  <c r="AE56" i="5"/>
  <c r="AF56" i="5"/>
  <c r="AF57" i="5"/>
  <c r="AD18" i="5"/>
  <c r="AF2" i="5"/>
  <c r="AF3" i="5" s="1"/>
  <c r="AF4" i="5" s="1"/>
  <c r="AF5" i="5" s="1"/>
  <c r="AF6" i="5" s="1"/>
  <c r="AF7" i="5" s="1"/>
  <c r="AF8" i="5" s="1"/>
  <c r="AF9" i="5" s="1"/>
  <c r="AF10" i="5" s="1"/>
  <c r="AF11" i="5" s="1"/>
  <c r="AD2" i="5"/>
  <c r="AD3" i="5" s="1"/>
  <c r="AD4" i="5" s="1"/>
  <c r="AD5" i="5" s="1"/>
  <c r="AD6" i="5" s="1"/>
  <c r="AD7" i="5" s="1"/>
  <c r="AD8" i="5" s="1"/>
  <c r="AD9" i="5" s="1"/>
  <c r="AD10" i="5" s="1"/>
  <c r="AD11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B6" i="6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D81" i="7"/>
  <c r="AF81" i="7"/>
  <c r="AF72" i="7"/>
  <c r="AD80" i="7"/>
  <c r="AD72" i="7"/>
  <c r="AE72" i="7"/>
  <c r="AE73" i="7"/>
  <c r="AF46" i="8"/>
  <c r="AF53" i="8"/>
  <c r="AD46" i="8"/>
  <c r="AE46" i="8"/>
  <c r="AD55" i="8"/>
  <c r="AF77" i="7"/>
  <c r="AD77" i="7"/>
  <c r="AF32" i="5"/>
  <c r="AF29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N84" i="6" s="1"/>
  <c r="AD69" i="7"/>
  <c r="AF69" i="7"/>
  <c r="AE60" i="7"/>
  <c r="AF60" i="7"/>
  <c r="AD60" i="7"/>
  <c r="AE69" i="7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AB63" i="6"/>
  <c r="AB64" i="6" s="1"/>
  <c r="AB65" i="6" s="1"/>
  <c r="AB66" i="6" s="1"/>
  <c r="AB67" i="6" s="1"/>
  <c r="AB68" i="6" s="1"/>
  <c r="AB69" i="6" s="1"/>
  <c r="AB70" i="6" s="1"/>
  <c r="AF47" i="6"/>
  <c r="V3" i="6"/>
  <c r="AD66" i="7"/>
  <c r="AF79" i="5"/>
  <c r="AD79" i="5"/>
  <c r="AF65" i="5"/>
  <c r="AF36" i="5"/>
  <c r="AF29" i="5"/>
  <c r="AE21" i="5"/>
  <c r="AF21" i="5"/>
  <c r="AE68" i="5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L84" i="8" s="1"/>
  <c r="AE65" i="5"/>
  <c r="AF58" i="5"/>
  <c r="AF82" i="5"/>
  <c r="AD75" i="5"/>
  <c r="AD54" i="5"/>
  <c r="AF60" i="6"/>
  <c r="AE81" i="7"/>
  <c r="AD76" i="7"/>
  <c r="AF29" i="7"/>
  <c r="AE4" i="7"/>
  <c r="AE5" i="7" s="1"/>
  <c r="AE6" i="7" s="1"/>
  <c r="AE7" i="7" s="1"/>
  <c r="AE8" i="7" s="1"/>
  <c r="AE9" i="7" s="1"/>
  <c r="AE10" i="7" s="1"/>
  <c r="AE11" i="7" s="1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P84" i="9" s="1"/>
  <c r="P85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I84" i="9" s="1"/>
  <c r="AE56" i="8"/>
  <c r="AF65" i="8"/>
  <c r="AD56" i="8"/>
  <c r="AF61" i="8"/>
  <c r="AD64" i="8"/>
  <c r="AD80" i="5"/>
  <c r="AE80" i="5"/>
  <c r="AE48" i="6"/>
  <c r="AF48" i="6"/>
  <c r="AD57" i="6"/>
  <c r="AE57" i="6"/>
  <c r="AF57" i="6"/>
  <c r="AD43" i="6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B4" i="5" s="1"/>
  <c r="AB5" i="5" s="1"/>
  <c r="AB6" i="5" s="1"/>
  <c r="AB7" i="5" s="1"/>
  <c r="AB8" i="5" s="1"/>
  <c r="AF41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W84" i="6" s="1"/>
  <c r="W85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W84" i="10" s="1"/>
  <c r="W85" i="10" s="1"/>
  <c r="AD59" i="5"/>
  <c r="AE59" i="5"/>
  <c r="AF59" i="5"/>
  <c r="AD20" i="5"/>
  <c r="AE20" i="5"/>
  <c r="AF20" i="5"/>
  <c r="AD13" i="5"/>
  <c r="AE13" i="5"/>
  <c r="AF13" i="5"/>
  <c r="AD12" i="5"/>
  <c r="AE12" i="5"/>
  <c r="AD42" i="6"/>
  <c r="AD19" i="6"/>
  <c r="AE19" i="6"/>
  <c r="AF19" i="6"/>
  <c r="AE82" i="7"/>
  <c r="AF82" i="7"/>
  <c r="AE46" i="7"/>
  <c r="AF43" i="7"/>
  <c r="AB40" i="7"/>
  <c r="AB41" i="7" s="1"/>
  <c r="AB42" i="7" s="1"/>
  <c r="AB43" i="7" s="1"/>
  <c r="AB44" i="7" s="1"/>
  <c r="AB45" i="7" s="1"/>
  <c r="AB46" i="7" s="1"/>
  <c r="AB47" i="7" s="1"/>
  <c r="AB48" i="7" s="1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Q84" i="8" s="1"/>
  <c r="Q85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B13" i="5" s="1"/>
  <c r="AB14" i="5" s="1"/>
  <c r="AB15" i="5" s="1"/>
  <c r="AB16" i="5" s="1"/>
  <c r="AB17" i="5" s="1"/>
  <c r="AB18" i="5" s="1"/>
  <c r="AB19" i="5" s="1"/>
  <c r="AB20" i="5" s="1"/>
  <c r="AB21" i="5" s="1"/>
  <c r="AB22" i="5" s="1"/>
  <c r="AB23" i="5" s="1"/>
  <c r="AB24" i="5" s="1"/>
  <c r="AB25" i="5" s="1"/>
  <c r="AB26" i="5" s="1"/>
  <c r="AB27" i="5" s="1"/>
  <c r="AB28" i="5" s="1"/>
  <c r="AB29" i="5" s="1"/>
  <c r="AB30" i="5" s="1"/>
  <c r="AB31" i="5" s="1"/>
  <c r="AB32" i="5" s="1"/>
  <c r="AB33" i="5" s="1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B84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N84" i="10" s="1"/>
  <c r="AD83" i="7"/>
  <c r="AF83" i="7"/>
  <c r="AD38" i="6"/>
  <c r="AD31" i="6"/>
  <c r="AE31" i="6"/>
  <c r="AF31" i="6"/>
  <c r="AD25" i="6"/>
  <c r="AE25" i="6"/>
  <c r="AF25" i="6"/>
  <c r="AE42" i="8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B38" i="6"/>
  <c r="AB39" i="6" s="1"/>
  <c r="AB40" i="6" s="1"/>
  <c r="AB41" i="6" s="1"/>
  <c r="AB42" i="6" s="1"/>
  <c r="AB43" i="6" s="1"/>
  <c r="AB44" i="6" s="1"/>
  <c r="AB45" i="6" s="1"/>
  <c r="AB46" i="6" s="1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1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O84" i="10" s="1"/>
  <c r="O85" i="10" s="1"/>
  <c r="AD63" i="5"/>
  <c r="AE55" i="6"/>
  <c r="AE27" i="6"/>
  <c r="AF12" i="6"/>
  <c r="AE3" i="6"/>
  <c r="AE4" i="6" s="1"/>
  <c r="AE5" i="6" s="1"/>
  <c r="AE6" i="6" s="1"/>
  <c r="AE7" i="6" s="1"/>
  <c r="AE8" i="6" s="1"/>
  <c r="AE9" i="6" s="1"/>
  <c r="AE10" i="6" s="1"/>
  <c r="AE11" i="6" s="1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V84" i="8" s="1"/>
  <c r="V85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M84" i="8" s="1"/>
  <c r="M85" i="8" s="1"/>
  <c r="M86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K84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E72" i="5"/>
  <c r="AF75" i="5"/>
  <c r="AF39" i="6"/>
  <c r="AE47" i="7"/>
  <c r="AD15" i="7"/>
  <c r="AE15" i="7"/>
  <c r="AF15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P84" i="12" s="1"/>
  <c r="P85" i="12" s="1"/>
  <c r="AF35" i="8"/>
  <c r="AE35" i="8"/>
  <c r="AD35" i="8"/>
  <c r="AF80" i="7"/>
  <c r="AB74" i="7"/>
  <c r="AB75" i="7" s="1"/>
  <c r="AB76" i="7" s="1"/>
  <c r="AB77" i="7" s="1"/>
  <c r="AB78" i="7" s="1"/>
  <c r="AB79" i="7" s="1"/>
  <c r="AB80" i="7" s="1"/>
  <c r="AB81" i="7" s="1"/>
  <c r="AB82" i="7" s="1"/>
  <c r="AB83" i="7" s="1"/>
  <c r="AB84" i="7" s="1"/>
  <c r="AF63" i="7"/>
  <c r="AF49" i="8"/>
  <c r="AD58" i="8"/>
  <c r="AE49" i="8"/>
  <c r="AD30" i="8"/>
  <c r="AD74" i="7"/>
  <c r="AF61" i="5"/>
  <c r="AD64" i="5"/>
  <c r="AE61" i="5"/>
  <c r="AD29" i="5"/>
  <c r="AF12" i="5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K84" i="8" s="1"/>
  <c r="K85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R84" i="9" s="1"/>
  <c r="R85" i="9" s="1"/>
  <c r="AE29" i="5"/>
  <c r="AF77" i="6"/>
  <c r="AF81" i="5"/>
  <c r="AF50" i="5"/>
  <c r="AF47" i="5"/>
  <c r="AF39" i="5"/>
  <c r="AD33" i="5"/>
  <c r="AE33" i="5"/>
  <c r="AF33" i="5"/>
  <c r="AE73" i="6"/>
  <c r="AF63" i="6"/>
  <c r="AE56" i="6"/>
  <c r="AF28" i="6"/>
  <c r="AD17" i="6"/>
  <c r="AF71" i="7"/>
  <c r="AE67" i="7"/>
  <c r="AE23" i="8"/>
  <c r="AD77" i="9"/>
  <c r="AE77" i="9"/>
  <c r="AD83" i="9"/>
  <c r="AF83" i="9"/>
  <c r="AF77" i="9"/>
  <c r="AD78" i="9"/>
  <c r="AE78" i="9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M84" i="9" s="1"/>
  <c r="M85" i="9" s="1"/>
  <c r="AD34" i="5"/>
  <c r="AE34" i="5"/>
  <c r="AF34" i="5"/>
  <c r="AD39" i="6"/>
  <c r="AD27" i="5"/>
  <c r="AE27" i="5"/>
  <c r="AF27" i="5"/>
  <c r="AF22" i="5"/>
  <c r="AD73" i="6"/>
  <c r="AD79" i="6"/>
  <c r="AE79" i="6"/>
  <c r="AF79" i="6"/>
  <c r="AD56" i="6"/>
  <c r="AE28" i="6"/>
  <c r="AD71" i="7"/>
  <c r="AE56" i="7"/>
  <c r="AD49" i="7"/>
  <c r="AD34" i="7"/>
  <c r="AE34" i="7"/>
  <c r="AF34" i="7"/>
  <c r="AF25" i="7"/>
  <c r="AD25" i="7"/>
  <c r="AB57" i="8"/>
  <c r="AB58" i="8" s="1"/>
  <c r="AB59" i="8" s="1"/>
  <c r="AF70" i="5"/>
  <c r="AF37" i="5"/>
  <c r="Q14" i="4"/>
  <c r="AE70" i="5"/>
  <c r="AF67" i="5"/>
  <c r="AE63" i="5"/>
  <c r="AE37" i="5"/>
  <c r="AE22" i="5"/>
  <c r="AE80" i="6"/>
  <c r="AF73" i="6"/>
  <c r="AB71" i="6"/>
  <c r="AE66" i="6"/>
  <c r="AD65" i="6"/>
  <c r="AE65" i="6"/>
  <c r="AF65" i="6"/>
  <c r="AE64" i="6"/>
  <c r="AE71" i="7"/>
  <c r="AD78" i="7"/>
  <c r="AB67" i="7"/>
  <c r="AB68" i="7" s="1"/>
  <c r="AB69" i="7" s="1"/>
  <c r="AB70" i="7" s="1"/>
  <c r="AB71" i="7" s="1"/>
  <c r="AB72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AD67" i="5"/>
  <c r="AD19" i="5"/>
  <c r="AE19" i="5"/>
  <c r="AF19" i="5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AF73" i="7"/>
  <c r="AD65" i="7"/>
  <c r="AE65" i="7"/>
  <c r="AF56" i="7"/>
  <c r="AD18" i="8"/>
  <c r="AD46" i="9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S84" i="12" s="1"/>
  <c r="S85" i="12" s="1"/>
  <c r="AB56" i="10"/>
  <c r="AB57" i="10" s="1"/>
  <c r="AB58" i="10" s="1"/>
  <c r="AB59" i="10" s="1"/>
  <c r="AB60" i="10" s="1"/>
  <c r="AB61" i="10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P84" i="11" s="1"/>
  <c r="P85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T84" i="15" s="1"/>
  <c r="T85" i="15" s="1"/>
  <c r="AE23" i="7"/>
  <c r="AD23" i="7"/>
  <c r="AD14" i="7"/>
  <c r="AE64" i="8"/>
  <c r="AE21" i="12"/>
  <c r="AF21" i="12"/>
  <c r="AD30" i="12"/>
  <c r="AE30" i="12"/>
  <c r="AF30" i="12"/>
  <c r="AD28" i="12"/>
  <c r="AF28" i="12"/>
  <c r="AD21" i="12"/>
  <c r="AF27" i="12"/>
  <c r="AB33" i="13"/>
  <c r="AB34" i="13" s="1"/>
  <c r="AB35" i="13" s="1"/>
  <c r="AB36" i="13" s="1"/>
  <c r="AB37" i="13" s="1"/>
  <c r="AB38" i="13" s="1"/>
  <c r="AB39" i="13" s="1"/>
  <c r="AB40" i="13" s="1"/>
  <c r="AB41" i="13" s="1"/>
  <c r="AB42" i="13" s="1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35" i="8" s="1"/>
  <c r="AB36" i="8" s="1"/>
  <c r="AB37" i="8" s="1"/>
  <c r="AB38" i="8" s="1"/>
  <c r="AB39" i="8" s="1"/>
  <c r="AB40" i="8" s="1"/>
  <c r="AB41" i="8" s="1"/>
  <c r="AB42" i="8" s="1"/>
  <c r="AB43" i="8" s="1"/>
  <c r="AB44" i="8" s="1"/>
  <c r="AB45" i="8" s="1"/>
  <c r="AB46" i="8" s="1"/>
  <c r="AB47" i="8" s="1"/>
  <c r="AB48" i="8" s="1"/>
  <c r="AB49" i="8" s="1"/>
  <c r="AB50" i="8" s="1"/>
  <c r="AB2" i="8"/>
  <c r="AF24" i="7"/>
  <c r="AD50" i="8"/>
  <c r="Z3" i="8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Z84" i="13" s="1"/>
  <c r="Z85" i="13" s="1"/>
  <c r="AE16" i="7"/>
  <c r="AD16" i="7"/>
  <c r="AF16" i="7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AF78" i="10"/>
  <c r="AF30" i="6"/>
  <c r="AD31" i="7"/>
  <c r="AF52" i="8"/>
  <c r="AD16" i="8"/>
  <c r="AB36" i="9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AE74" i="8"/>
  <c r="AD57" i="8"/>
  <c r="AE83" i="10"/>
  <c r="AF83" i="10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I84" i="7" s="1"/>
  <c r="I85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B34" i="9"/>
  <c r="AE36" i="10"/>
  <c r="AF36" i="10"/>
  <c r="AD36" i="10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X84" i="9" s="1"/>
  <c r="X85" i="9" s="1"/>
  <c r="AD67" i="10"/>
  <c r="AE67" i="10"/>
  <c r="AE37" i="7"/>
  <c r="AE76" i="8"/>
  <c r="AD77" i="8"/>
  <c r="AE58" i="8"/>
  <c r="AF58" i="8"/>
  <c r="AD61" i="8"/>
  <c r="AD47" i="8"/>
  <c r="AF47" i="8"/>
  <c r="AE57" i="9"/>
  <c r="AF57" i="9"/>
  <c r="AE24" i="10"/>
  <c r="AF24" i="10"/>
  <c r="AD24" i="10"/>
  <c r="AE26" i="10"/>
  <c r="AF26" i="10"/>
  <c r="AD27" i="10"/>
  <c r="AD29" i="10"/>
  <c r="AF33" i="10"/>
  <c r="K3" i="10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V84" i="9" s="1"/>
  <c r="V85" i="9" s="1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I84" i="12" s="1"/>
  <c r="I85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Q84" i="16" s="1"/>
  <c r="Q85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U84" i="9" s="1"/>
  <c r="U85" i="9" s="1"/>
  <c r="AD3" i="10"/>
  <c r="AD4" i="10" s="1"/>
  <c r="AD5" i="10" s="1"/>
  <c r="AD6" i="10" s="1"/>
  <c r="AD7" i="10" s="1"/>
  <c r="AD8" i="10" s="1"/>
  <c r="AD9" i="10" s="1"/>
  <c r="AD10" i="10" s="1"/>
  <c r="AD11" i="10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U84" i="14" s="1"/>
  <c r="U85" i="14" s="1"/>
  <c r="AD53" i="9"/>
  <c r="AB37" i="9"/>
  <c r="AB38" i="9" s="1"/>
  <c r="AB39" i="9" s="1"/>
  <c r="AB40" i="9" s="1"/>
  <c r="AB41" i="9" s="1"/>
  <c r="AB42" i="9" s="1"/>
  <c r="AB43" i="9" s="1"/>
  <c r="AB44" i="9" s="1"/>
  <c r="AB45" i="9" s="1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B47" i="9"/>
  <c r="AB48" i="9" s="1"/>
  <c r="AB49" i="9" s="1"/>
  <c r="AB50" i="9" s="1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AB65" i="9" s="1"/>
  <c r="AB66" i="9" s="1"/>
  <c r="AB67" i="9" s="1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B84" i="9" s="1"/>
  <c r="AB85" i="9" s="1"/>
  <c r="AD29" i="9"/>
  <c r="AE29" i="9"/>
  <c r="AF29" i="9"/>
  <c r="AD57" i="12"/>
  <c r="AD37" i="12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AF58" i="12"/>
  <c r="J26" i="4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AE38" i="7"/>
  <c r="AE68" i="8"/>
  <c r="AD65" i="8"/>
  <c r="AD45" i="8"/>
  <c r="AE37" i="8"/>
  <c r="U3" i="8"/>
  <c r="AE82" i="9"/>
  <c r="AE75" i="9"/>
  <c r="AF68" i="9"/>
  <c r="AE61" i="9"/>
  <c r="AE49" i="9"/>
  <c r="AD51" i="9"/>
  <c r="AE51" i="9"/>
  <c r="AF51" i="9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T84" i="8" s="1"/>
  <c r="T85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Y84" i="10" s="1"/>
  <c r="Y85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X84" i="14" s="1"/>
  <c r="X85" i="14" s="1"/>
  <c r="AF78" i="8"/>
  <c r="AD6" i="8"/>
  <c r="AD7" i="8" s="1"/>
  <c r="AD8" i="8" s="1"/>
  <c r="AD9" i="8" s="1"/>
  <c r="AD10" i="8" s="1"/>
  <c r="AD11" i="8" s="1"/>
  <c r="AF6" i="8"/>
  <c r="AF7" i="8" s="1"/>
  <c r="AF8" i="8" s="1"/>
  <c r="AF9" i="8" s="1"/>
  <c r="AF10" i="8" s="1"/>
  <c r="AF11" i="8" s="1"/>
  <c r="AD12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X84" i="10" s="1"/>
  <c r="X85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O84" i="11" s="1"/>
  <c r="O85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E14" i="4"/>
  <c r="AF76" i="10"/>
  <c r="AE71" i="10"/>
  <c r="AF68" i="10"/>
  <c r="AF29" i="10"/>
  <c r="AF31" i="11"/>
  <c r="AE64" i="7"/>
  <c r="AD78" i="8"/>
  <c r="AE57" i="8"/>
  <c r="AE16" i="8"/>
  <c r="AE66" i="9"/>
  <c r="AD65" i="9"/>
  <c r="AE65" i="9"/>
  <c r="AF65" i="9"/>
  <c r="AD52" i="9"/>
  <c r="AE36" i="9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K84" i="12" s="1"/>
  <c r="K85" i="12" s="1"/>
  <c r="AD82" i="13"/>
  <c r="AE59" i="9"/>
  <c r="AF52" i="9"/>
  <c r="AD60" i="9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U84" i="10" s="1"/>
  <c r="U85" i="10" s="1"/>
  <c r="AF76" i="11"/>
  <c r="AD76" i="11"/>
  <c r="AD83" i="11"/>
  <c r="AE31" i="7"/>
  <c r="AF31" i="7"/>
  <c r="AE81" i="8"/>
  <c r="AF81" i="8"/>
  <c r="AE75" i="8"/>
  <c r="AD27" i="8"/>
  <c r="AF25" i="8"/>
  <c r="J36" i="4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M84" i="13" s="1"/>
  <c r="M85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I84" i="14" s="1"/>
  <c r="AE59" i="12"/>
  <c r="AE44" i="12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B41" i="14"/>
  <c r="AB42" i="14" s="1"/>
  <c r="AB43" i="14" s="1"/>
  <c r="AB44" i="14" s="1"/>
  <c r="AB45" i="14" s="1"/>
  <c r="AB46" i="14" s="1"/>
  <c r="AB47" i="14" s="1"/>
  <c r="AB40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J84" i="12" s="1"/>
  <c r="J85" i="12" s="1"/>
  <c r="AE81" i="16"/>
  <c r="S3" i="14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S84" i="13" s="1"/>
  <c r="S85" i="13" s="1"/>
  <c r="AE80" i="16"/>
  <c r="AE31" i="10"/>
  <c r="AF31" i="10"/>
  <c r="AB8" i="11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L84" i="12" s="1"/>
  <c r="L85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K84" i="17" s="1"/>
  <c r="K85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Z84" i="12" s="1"/>
  <c r="Z85" i="12" s="1"/>
  <c r="AF62" i="13"/>
  <c r="AF68" i="13"/>
  <c r="AF69" i="13"/>
  <c r="AF56" i="12"/>
  <c r="AF67" i="13"/>
  <c r="AB64" i="10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B77" i="10" s="1"/>
  <c r="AB78" i="10" s="1"/>
  <c r="AB79" i="10" s="1"/>
  <c r="AB80" i="10" s="1"/>
  <c r="AB81" i="10" s="1"/>
  <c r="AB82" i="10" s="1"/>
  <c r="AB83" i="10" s="1"/>
  <c r="AB84" i="10" s="1"/>
  <c r="AB85" i="10" s="1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Q84" i="12" s="1"/>
  <c r="Q85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Y84" i="12" s="1"/>
  <c r="Y85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L84" i="21" s="1"/>
  <c r="L85" i="21" s="1"/>
  <c r="L86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X84" i="16" s="1"/>
  <c r="X85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L84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T84" i="14" s="1"/>
  <c r="T85" i="14" s="1"/>
  <c r="AD60" i="10"/>
  <c r="AF42" i="10"/>
  <c r="AD68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U84" i="11" s="1"/>
  <c r="U85" i="11" s="1"/>
  <c r="AB4" i="12"/>
  <c r="AB5" i="12" s="1"/>
  <c r="AB6" i="12" s="1"/>
  <c r="AB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84" i="13" s="1"/>
  <c r="K85" i="13" s="1"/>
  <c r="K86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K84" i="16" s="1"/>
  <c r="AE54" i="8"/>
  <c r="AF73" i="9"/>
  <c r="AE42" i="10"/>
  <c r="AF40" i="10"/>
  <c r="AD28" i="10"/>
  <c r="AE12" i="10"/>
  <c r="AD2" i="10"/>
  <c r="AE2" i="10"/>
  <c r="AE3" i="10" s="1"/>
  <c r="AE4" i="10" s="1"/>
  <c r="AE5" i="10" s="1"/>
  <c r="AE6" i="10" s="1"/>
  <c r="AE7" i="10" s="1"/>
  <c r="AE8" i="10" s="1"/>
  <c r="AE9" i="10" s="1"/>
  <c r="AE10" i="10" s="1"/>
  <c r="AE11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T84" i="11" s="1"/>
  <c r="T85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K84" i="14" s="1"/>
  <c r="AE69" i="8"/>
  <c r="AE65" i="8"/>
  <c r="AE25" i="8"/>
  <c r="AD38" i="9"/>
  <c r="AE38" i="9"/>
  <c r="AF38" i="9"/>
  <c r="AD32" i="9"/>
  <c r="AD20" i="9"/>
  <c r="AE20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AE43" i="11"/>
  <c r="AB4" i="11"/>
  <c r="AB5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S84" i="11" s="1"/>
  <c r="S85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J84" i="15" s="1"/>
  <c r="J85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I84" i="17" s="1"/>
  <c r="I85" i="17" s="1"/>
  <c r="AE30" i="7"/>
  <c r="AE47" i="8"/>
  <c r="AD72" i="9"/>
  <c r="AE72" i="9"/>
  <c r="AF72" i="9"/>
  <c r="AE77" i="10"/>
  <c r="AF77" i="10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R84" i="11" s="1"/>
  <c r="R85" i="11" s="1"/>
  <c r="AD82" i="12"/>
  <c r="AD19" i="14"/>
  <c r="AE19" i="14"/>
  <c r="C5" i="4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1" s="1"/>
  <c r="Q85" i="11" s="1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AD81" i="16"/>
  <c r="U13" i="16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AE81" i="11"/>
  <c r="AF81" i="1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D8" i="12" s="1"/>
  <c r="AD9" i="12" s="1"/>
  <c r="AD10" i="12" s="1"/>
  <c r="AD11" i="12" s="1"/>
  <c r="AF4" i="12"/>
  <c r="AF5" i="12" s="1"/>
  <c r="AF6" i="12" s="1"/>
  <c r="AD21" i="13"/>
  <c r="AD14" i="13"/>
  <c r="T3" i="13"/>
  <c r="AE47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W84" i="14" s="1"/>
  <c r="W85" i="14" s="1"/>
  <c r="AF25" i="10"/>
  <c r="AD30" i="10"/>
  <c r="AE30" i="10"/>
  <c r="AF30" i="10"/>
  <c r="AF71" i="11"/>
  <c r="AF40" i="11"/>
  <c r="AF72" i="12"/>
  <c r="AB37" i="12"/>
  <c r="AB38" i="12" s="1"/>
  <c r="AB39" i="12" s="1"/>
  <c r="AB40" i="12" s="1"/>
  <c r="AB41" i="12" s="1"/>
  <c r="AB42" i="12" s="1"/>
  <c r="AB43" i="12" s="1"/>
  <c r="AB21" i="13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E31" i="14"/>
  <c r="AF31" i="14"/>
  <c r="AF38" i="14"/>
  <c r="AD17" i="16"/>
  <c r="AE44" i="11"/>
  <c r="AE35" i="11"/>
  <c r="AB29" i="11"/>
  <c r="AB30" i="11" s="1"/>
  <c r="AB31" i="11" s="1"/>
  <c r="AB32" i="11" s="1"/>
  <c r="AB33" i="11" s="1"/>
  <c r="AB34" i="11" s="1"/>
  <c r="AB35" i="11" s="1"/>
  <c r="AB36" i="11" s="1"/>
  <c r="AB37" i="11" s="1"/>
  <c r="AB38" i="11" s="1"/>
  <c r="AB39" i="11" s="1"/>
  <c r="AB40" i="11" s="1"/>
  <c r="AB41" i="11" s="1"/>
  <c r="AB42" i="11" s="1"/>
  <c r="AD24" i="11"/>
  <c r="AE24" i="11"/>
  <c r="AF78" i="12"/>
  <c r="AE72" i="12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I84" i="13" s="1"/>
  <c r="I85" i="13" s="1"/>
  <c r="I86" i="13" s="1"/>
  <c r="Q3" i="13"/>
  <c r="AD79" i="14"/>
  <c r="AD61" i="14"/>
  <c r="AF21" i="9"/>
  <c r="AF61" i="10"/>
  <c r="AF49" i="10"/>
  <c r="AF28" i="10"/>
  <c r="AB22" i="10"/>
  <c r="AB23" i="10" s="1"/>
  <c r="AB24" i="10" s="1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W84" i="17" s="1"/>
  <c r="W85" i="17" s="1"/>
  <c r="AF12" i="17"/>
  <c r="AF3" i="17"/>
  <c r="AF4" i="17" s="1"/>
  <c r="AF5" i="17" s="1"/>
  <c r="AF6" i="17" s="1"/>
  <c r="AF7" i="17" s="1"/>
  <c r="AF8" i="17" s="1"/>
  <c r="AF9" i="17" s="1"/>
  <c r="AF10" i="17" s="1"/>
  <c r="AF11" i="17" s="1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R84" i="19" s="1"/>
  <c r="R85" i="19" s="1"/>
  <c r="AF32" i="9"/>
  <c r="AF81" i="10"/>
  <c r="AF69" i="10"/>
  <c r="AF57" i="10"/>
  <c r="AF63" i="11"/>
  <c r="AD50" i="11"/>
  <c r="AF82" i="12"/>
  <c r="AF64" i="12"/>
  <c r="AE24" i="12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AE81" i="10"/>
  <c r="AE73" i="10"/>
  <c r="AF73" i="10"/>
  <c r="AE69" i="10"/>
  <c r="AE57" i="10"/>
  <c r="AD58" i="10"/>
  <c r="AD37" i="10"/>
  <c r="AE37" i="10"/>
  <c r="AF37" i="10"/>
  <c r="AE82" i="12"/>
  <c r="AD54" i="12"/>
  <c r="AE54" i="12"/>
  <c r="AF54" i="12"/>
  <c r="AF34" i="12"/>
  <c r="AB8" i="12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AB28" i="12" s="1"/>
  <c r="AB29" i="12" s="1"/>
  <c r="AE51" i="13"/>
  <c r="AF51" i="13"/>
  <c r="AF59" i="13"/>
  <c r="AD51" i="13"/>
  <c r="AB43" i="13"/>
  <c r="AB44" i="13" s="1"/>
  <c r="AF38" i="13"/>
  <c r="AE31" i="13"/>
  <c r="AF55" i="14"/>
  <c r="AD46" i="14"/>
  <c r="AF50" i="14"/>
  <c r="AE46" i="14"/>
  <c r="AE55" i="14"/>
  <c r="AF46" i="14"/>
  <c r="AD16" i="14"/>
  <c r="AD60" i="15"/>
  <c r="AB28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AE34" i="12"/>
  <c r="AE15" i="13"/>
  <c r="AE72" i="11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X84" i="13" s="1"/>
  <c r="X85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AD70" i="14"/>
  <c r="AE70" i="14"/>
  <c r="AF70" i="14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L84" i="14" s="1"/>
  <c r="AD75" i="15"/>
  <c r="AE75" i="15"/>
  <c r="AF75" i="15"/>
  <c r="AE83" i="15"/>
  <c r="AF83" i="15"/>
  <c r="AD83" i="15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L84" i="16" s="1"/>
  <c r="AF72" i="17"/>
  <c r="AD76" i="17"/>
  <c r="AE77" i="17"/>
  <c r="AF77" i="17"/>
  <c r="AE74" i="17"/>
  <c r="AE72" i="17"/>
  <c r="AE76" i="17"/>
  <c r="AB82" i="15"/>
  <c r="AD15" i="15"/>
  <c r="AE16" i="17"/>
  <c r="AF16" i="17"/>
  <c r="AD16" i="17"/>
  <c r="AF25" i="17"/>
  <c r="AE22" i="17"/>
  <c r="AD4" i="14"/>
  <c r="AD5" i="14" s="1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V84" i="15" s="1"/>
  <c r="V85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M84" i="15" s="1"/>
  <c r="M85" i="15" s="1"/>
  <c r="M86" i="15" s="1"/>
  <c r="I6" i="4" s="1"/>
  <c r="AF71" i="16"/>
  <c r="AF58" i="17"/>
  <c r="AF15" i="17"/>
  <c r="AF53" i="13"/>
  <c r="AF61" i="13"/>
  <c r="AB47" i="13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B60" i="13" s="1"/>
  <c r="AB61" i="13" s="1"/>
  <c r="AB62" i="13" s="1"/>
  <c r="AB63" i="13" s="1"/>
  <c r="AB64" i="13" s="1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V84" i="13" s="1"/>
  <c r="V85" i="13" s="1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J84" i="16" s="1"/>
  <c r="J85" i="16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X84" i="15" s="1"/>
  <c r="X85" i="15" s="1"/>
  <c r="Z3" i="16"/>
  <c r="AD22" i="17"/>
  <c r="AD40" i="13"/>
  <c r="AE24" i="13"/>
  <c r="AF79" i="14"/>
  <c r="AD69" i="14"/>
  <c r="AE73" i="15"/>
  <c r="AE18" i="15"/>
  <c r="AF4" i="13"/>
  <c r="AE4" i="13"/>
  <c r="AD21" i="14"/>
  <c r="AE21" i="14"/>
  <c r="AD30" i="14"/>
  <c r="AE30" i="14"/>
  <c r="AF30" i="14"/>
  <c r="AF21" i="14"/>
  <c r="AD66" i="15"/>
  <c r="AD48" i="15"/>
  <c r="AF69" i="16"/>
  <c r="V7" i="16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S84" i="20" s="1"/>
  <c r="S85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W84" i="15" s="1"/>
  <c r="W85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O84" i="15" s="1"/>
  <c r="O85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S84" i="15" s="1"/>
  <c r="S85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L84" i="15" s="1"/>
  <c r="L85" i="15" s="1"/>
  <c r="AE52" i="16"/>
  <c r="AE66" i="11"/>
  <c r="AE57" i="11"/>
  <c r="AE49" i="11"/>
  <c r="AE49" i="12"/>
  <c r="AD56" i="12"/>
  <c r="AE76" i="13"/>
  <c r="AE71" i="13"/>
  <c r="AD61" i="13"/>
  <c r="AE34" i="13"/>
  <c r="AF16" i="13"/>
  <c r="AE5" i="13"/>
  <c r="AE6" i="13" s="1"/>
  <c r="AE7" i="13" s="1"/>
  <c r="AE8" i="13" s="1"/>
  <c r="AE9" i="13" s="1"/>
  <c r="AE10" i="13" s="1"/>
  <c r="AE11" i="13" s="1"/>
  <c r="AF52" i="14"/>
  <c r="AE45" i="14"/>
  <c r="AF45" i="14"/>
  <c r="AD54" i="14"/>
  <c r="AE54" i="14"/>
  <c r="AF54" i="14"/>
  <c r="AE20" i="14"/>
  <c r="AB13" i="14"/>
  <c r="AB14" i="14" s="1"/>
  <c r="AB15" i="14" s="1"/>
  <c r="AB16" i="14" s="1"/>
  <c r="AF82" i="15"/>
  <c r="AE65" i="15"/>
  <c r="AF65" i="15"/>
  <c r="AE74" i="15"/>
  <c r="AF74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P84" i="16" s="1"/>
  <c r="P85" i="16" s="1"/>
  <c r="AF7" i="12"/>
  <c r="AF8" i="12" s="1"/>
  <c r="AF9" i="12" s="1"/>
  <c r="AF10" i="12" s="1"/>
  <c r="AF11" i="12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O84" i="13" s="1"/>
  <c r="O85" i="13" s="1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N84" i="15" s="1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AD52" i="14"/>
  <c r="AD25" i="14"/>
  <c r="AD28" i="14"/>
  <c r="AF28" i="14"/>
  <c r="J27" i="4"/>
  <c r="AE82" i="15"/>
  <c r="AD55" i="15"/>
  <c r="AE55" i="15"/>
  <c r="AE51" i="15"/>
  <c r="AE60" i="15"/>
  <c r="AD58" i="15"/>
  <c r="AF60" i="15"/>
  <c r="AF51" i="15"/>
  <c r="AE57" i="15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R84" i="15" s="1"/>
  <c r="R85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R84" i="16" s="1"/>
  <c r="R85" i="16" s="1"/>
  <c r="Y3" i="16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B84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AE41" i="16"/>
  <c r="M3" i="17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S84" i="16" s="1"/>
  <c r="S85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N84" i="16" s="1"/>
  <c r="AE63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W84" i="22" s="1"/>
  <c r="W85" i="22" s="1"/>
  <c r="AF12" i="14"/>
  <c r="AD12" i="14"/>
  <c r="AE12" i="14"/>
  <c r="AD71" i="15"/>
  <c r="AE58" i="16"/>
  <c r="AD35" i="17"/>
  <c r="AE35" i="17"/>
  <c r="AF18" i="13"/>
  <c r="AE16" i="14"/>
  <c r="AF16" i="14"/>
  <c r="AB83" i="15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AB54" i="17"/>
  <c r="AB55" i="17"/>
  <c r="AB56" i="17" s="1"/>
  <c r="AB48" i="14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B81" i="14" s="1"/>
  <c r="AB82" i="14" s="1"/>
  <c r="AB83" i="14" s="1"/>
  <c r="AB84" i="14" s="1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AF60" i="12"/>
  <c r="AF51" i="12"/>
  <c r="AE46" i="12"/>
  <c r="AE28" i="12"/>
  <c r="AF77" i="13"/>
  <c r="AE73" i="13"/>
  <c r="AD59" i="13"/>
  <c r="AF40" i="13"/>
  <c r="AF29" i="13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I84" i="16" s="1"/>
  <c r="AE34" i="17"/>
  <c r="AF34" i="17"/>
  <c r="AE42" i="17"/>
  <c r="AF42" i="17"/>
  <c r="AD34" i="17"/>
  <c r="AF43" i="17"/>
  <c r="AE41" i="17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T84" i="18" s="1"/>
  <c r="T85" i="18" s="1"/>
  <c r="AE60" i="12"/>
  <c r="AE51" i="12"/>
  <c r="AE77" i="13"/>
  <c r="AD52" i="13"/>
  <c r="AE40" i="13"/>
  <c r="AE29" i="13"/>
  <c r="AD67" i="15"/>
  <c r="AF48" i="15"/>
  <c r="AD39" i="15"/>
  <c r="AE27" i="15"/>
  <c r="AB25" i="15"/>
  <c r="AB26" i="15" s="1"/>
  <c r="AB27" i="15" s="1"/>
  <c r="AB28" i="15" s="1"/>
  <c r="AB29" i="15" s="1"/>
  <c r="AB30" i="15" s="1"/>
  <c r="AB31" i="15" s="1"/>
  <c r="AB32" i="15" s="1"/>
  <c r="AB33" i="15" s="1"/>
  <c r="AB34" i="15" s="1"/>
  <c r="AB35" i="15" s="1"/>
  <c r="AB36" i="15" s="1"/>
  <c r="AB37" i="15" s="1"/>
  <c r="AB38" i="15" s="1"/>
  <c r="AB39" i="15" s="1"/>
  <c r="AB40" i="15" s="1"/>
  <c r="AE64" i="16"/>
  <c r="AD61" i="16"/>
  <c r="AE69" i="16"/>
  <c r="AF61" i="16"/>
  <c r="AF51" i="16"/>
  <c r="AE34" i="16"/>
  <c r="AB20" i="16"/>
  <c r="AB21" i="16" s="1"/>
  <c r="AB22" i="16" s="1"/>
  <c r="AB23" i="16" s="1"/>
  <c r="AB24" i="16" s="1"/>
  <c r="AB25" i="16" s="1"/>
  <c r="AB26" i="16" s="1"/>
  <c r="AB27" i="16" s="1"/>
  <c r="AD16" i="16"/>
  <c r="AE16" i="16"/>
  <c r="AF16" i="16"/>
  <c r="AF50" i="17"/>
  <c r="AD24" i="17"/>
  <c r="AE24" i="17"/>
  <c r="AD15" i="17"/>
  <c r="AE15" i="17"/>
  <c r="AF2" i="17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R84" i="13" s="1"/>
  <c r="R85" i="13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I27" i="4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B81" i="17"/>
  <c r="AB82" i="17" s="1"/>
  <c r="AB83" i="17" s="1"/>
  <c r="AB84" i="17" s="1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Z84" i="17" s="1"/>
  <c r="Z85" i="17" s="1"/>
  <c r="AE56" i="12"/>
  <c r="AE33" i="12"/>
  <c r="AD31" i="13"/>
  <c r="AE82" i="14"/>
  <c r="AF50" i="15"/>
  <c r="AD17" i="15"/>
  <c r="AB6" i="15"/>
  <c r="AB7" i="15" s="1"/>
  <c r="AB8" i="15" s="1"/>
  <c r="AB9" i="15" s="1"/>
  <c r="AB10" i="15" s="1"/>
  <c r="AB11" i="15" s="1"/>
  <c r="AB12" i="15" s="1"/>
  <c r="AB13" i="15" s="1"/>
  <c r="AB14" i="15" s="1"/>
  <c r="AB15" i="15" s="1"/>
  <c r="AB16" i="15" s="1"/>
  <c r="AB17" i="15" s="1"/>
  <c r="AB18" i="15" s="1"/>
  <c r="AB19" i="15" s="1"/>
  <c r="AB20" i="15" s="1"/>
  <c r="AB21" i="15" s="1"/>
  <c r="AB22" i="15" s="1"/>
  <c r="AB23" i="15" s="1"/>
  <c r="AD23" i="16"/>
  <c r="AF23" i="16"/>
  <c r="AE53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R84" i="18" s="1"/>
  <c r="R85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P84" i="18" s="1"/>
  <c r="P85" i="18" s="1"/>
  <c r="AD24" i="13"/>
  <c r="AE42" i="14"/>
  <c r="AE17" i="14"/>
  <c r="AF17" i="14"/>
  <c r="AD26" i="14"/>
  <c r="AE26" i="14"/>
  <c r="AD6" i="14"/>
  <c r="AD7" i="14" s="1"/>
  <c r="AD8" i="14" s="1"/>
  <c r="AD9" i="14" s="1"/>
  <c r="AD10" i="14" s="1"/>
  <c r="AD11" i="14" s="1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J84" i="17" s="1"/>
  <c r="J85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N84" i="19" s="1"/>
  <c r="N85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N84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AD35" i="16"/>
  <c r="AE35" i="16"/>
  <c r="AF35" i="16"/>
  <c r="AB77" i="17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AD56" i="16"/>
  <c r="AE56" i="16"/>
  <c r="AF56" i="16"/>
  <c r="AD80" i="17"/>
  <c r="AE68" i="17"/>
  <c r="AB57" i="17"/>
  <c r="AB58" i="17" s="1"/>
  <c r="AB59" i="17" s="1"/>
  <c r="AB60" i="17" s="1"/>
  <c r="AB61" i="17" s="1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AD56" i="19"/>
  <c r="AE56" i="19"/>
  <c r="AE63" i="19"/>
  <c r="AE64" i="19"/>
  <c r="AF64" i="19"/>
  <c r="AF60" i="19"/>
  <c r="AF29" i="20"/>
  <c r="AE40" i="16"/>
  <c r="AD33" i="16"/>
  <c r="AD73" i="17"/>
  <c r="AD23" i="17"/>
  <c r="AE23" i="17"/>
  <c r="AF23" i="17"/>
  <c r="AE70" i="18"/>
  <c r="AF59" i="18"/>
  <c r="AE59" i="18"/>
  <c r="AF5" i="18"/>
  <c r="AF6" i="18" s="1"/>
  <c r="AF7" i="18" s="1"/>
  <c r="AF8" i="18" s="1"/>
  <c r="AF9" i="18" s="1"/>
  <c r="AF10" i="18" s="1"/>
  <c r="AF11" i="18" s="1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B42" i="15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77" i="15" s="1"/>
  <c r="AD31" i="15"/>
  <c r="AE23" i="15"/>
  <c r="AE83" i="16"/>
  <c r="AE67" i="16"/>
  <c r="AF20" i="16"/>
  <c r="AE69" i="17"/>
  <c r="AF64" i="17"/>
  <c r="AF46" i="17"/>
  <c r="AD54" i="17"/>
  <c r="AD64" i="18"/>
  <c r="AD61" i="18"/>
  <c r="AD13" i="18"/>
  <c r="AF81" i="19"/>
  <c r="AF53" i="15"/>
  <c r="AF15" i="15"/>
  <c r="AD83" i="16"/>
  <c r="AD70" i="16"/>
  <c r="AE70" i="16"/>
  <c r="AF70" i="16"/>
  <c r="AE20" i="16"/>
  <c r="AD64" i="17"/>
  <c r="AF62" i="17"/>
  <c r="C88" i="18"/>
  <c r="Z8" i="19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Q84" i="20" s="1"/>
  <c r="Q85" i="20" s="1"/>
  <c r="AD76" i="16"/>
  <c r="AE76" i="16"/>
  <c r="AF76" i="16"/>
  <c r="AE65" i="16"/>
  <c r="AF34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N84" i="17" s="1"/>
  <c r="N85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T84" i="17" s="1"/>
  <c r="T85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S84" i="17" s="1"/>
  <c r="S85" i="17" s="1"/>
  <c r="AE66" i="18"/>
  <c r="AE41" i="18"/>
  <c r="AB3" i="18"/>
  <c r="D38" i="4"/>
  <c r="AD13" i="19"/>
  <c r="AE13" i="19"/>
  <c r="AF13" i="19"/>
  <c r="AF21" i="19"/>
  <c r="AD22" i="19"/>
  <c r="AE22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R84" i="17" s="1"/>
  <c r="R85" i="17" s="1"/>
  <c r="AD66" i="18"/>
  <c r="C38" i="4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AB48" i="16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AB11" i="18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O84" i="18" s="1"/>
  <c r="O85" i="18" s="1"/>
  <c r="AF32" i="19"/>
  <c r="AD28" i="19"/>
  <c r="AE28" i="19"/>
  <c r="AF28" i="19"/>
  <c r="AE37" i="19"/>
  <c r="AF37" i="19"/>
  <c r="AF19" i="19"/>
  <c r="AD19" i="19"/>
  <c r="AE19" i="19"/>
  <c r="AD49" i="20"/>
  <c r="J4" i="20"/>
  <c r="AD56" i="18"/>
  <c r="AE56" i="18"/>
  <c r="AF56" i="18"/>
  <c r="AD37" i="18"/>
  <c r="AE37" i="18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M84" i="19" s="1"/>
  <c r="M85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V84" i="20" s="1"/>
  <c r="V85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Q84" i="23" s="1"/>
  <c r="Q85" i="23" s="1"/>
  <c r="AF60" i="18"/>
  <c r="AE68" i="19"/>
  <c r="AE49" i="19"/>
  <c r="AF49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O84" i="21" s="1"/>
  <c r="O85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X84" i="22" s="1"/>
  <c r="X85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Q84" i="22" s="1"/>
  <c r="Q85" i="22" s="1"/>
  <c r="O3" i="17"/>
  <c r="AB46" i="18"/>
  <c r="AB47" i="18" s="1"/>
  <c r="AB48" i="18" s="1"/>
  <c r="AB49" i="18" s="1"/>
  <c r="AB50" i="18" s="1"/>
  <c r="AB51" i="18" s="1"/>
  <c r="AB52" i="18" s="1"/>
  <c r="AB53" i="18" s="1"/>
  <c r="AB54" i="18" s="1"/>
  <c r="AB55" i="18" s="1"/>
  <c r="AB56" i="18" s="1"/>
  <c r="AB57" i="18" s="1"/>
  <c r="AB58" i="18" s="1"/>
  <c r="AB59" i="18" s="1"/>
  <c r="AB60" i="18" s="1"/>
  <c r="AB61" i="18" s="1"/>
  <c r="AB62" i="18" s="1"/>
  <c r="AB63" i="18" s="1"/>
  <c r="AB64" i="18" s="1"/>
  <c r="AB65" i="18" s="1"/>
  <c r="AB66" i="18" s="1"/>
  <c r="AB67" i="18" s="1"/>
  <c r="AB68" i="18" s="1"/>
  <c r="AB69" i="18" s="1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B84" i="18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R84" i="20" s="1"/>
  <c r="R85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P84" i="20" s="1"/>
  <c r="P85" i="20" s="1"/>
  <c r="AE30" i="21"/>
  <c r="AE29" i="21"/>
  <c r="AE21" i="21"/>
  <c r="AD29" i="21"/>
  <c r="AF21" i="21"/>
  <c r="AD28" i="21"/>
  <c r="AD21" i="21"/>
  <c r="AD41" i="19"/>
  <c r="AE41" i="19"/>
  <c r="AF41" i="19"/>
  <c r="AD50" i="19"/>
  <c r="AE46" i="19"/>
  <c r="AF50" i="19"/>
  <c r="AF46" i="19"/>
  <c r="AD16" i="19"/>
  <c r="AE80" i="20"/>
  <c r="AE78" i="20"/>
  <c r="AF80" i="20"/>
  <c r="AD75" i="20"/>
  <c r="AE75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K84" i="19" s="1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P84" i="21" s="1"/>
  <c r="P85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AD58" i="19"/>
  <c r="AD30" i="19"/>
  <c r="AD79" i="20"/>
  <c r="AE66" i="20"/>
  <c r="AD41" i="20"/>
  <c r="AE41" i="20"/>
  <c r="AD14" i="20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F21" i="18"/>
  <c r="AF15" i="18"/>
  <c r="AE17" i="18"/>
  <c r="AD15" i="18"/>
  <c r="AE44" i="19"/>
  <c r="AD15" i="19"/>
  <c r="AE15" i="19"/>
  <c r="AF15" i="19"/>
  <c r="AD24" i="19"/>
  <c r="AE24" i="19"/>
  <c r="AF24" i="19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I84" i="20" s="1"/>
  <c r="I85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X84" i="19" s="1"/>
  <c r="X85" i="19" s="1"/>
  <c r="AD70" i="20"/>
  <c r="AE13" i="20"/>
  <c r="L3" i="20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M84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Y84" i="19" s="1"/>
  <c r="Y85" i="19" s="1"/>
  <c r="AD13" i="20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3" i="20"/>
  <c r="AE52" i="15"/>
  <c r="AF45" i="18"/>
  <c r="AD45" i="18"/>
  <c r="AF18" i="18"/>
  <c r="AF3" i="18"/>
  <c r="AF4" i="18" s="1"/>
  <c r="AD3" i="18"/>
  <c r="AD4" i="18" s="1"/>
  <c r="AD5" i="18" s="1"/>
  <c r="AD6" i="18" s="1"/>
  <c r="AD7" i="18" s="1"/>
  <c r="AD8" i="18" s="1"/>
  <c r="AD9" i="18" s="1"/>
  <c r="AD10" i="18" s="1"/>
  <c r="AD11" i="18" s="1"/>
  <c r="AB80" i="19"/>
  <c r="AD77" i="19"/>
  <c r="AD66" i="19"/>
  <c r="AE33" i="19"/>
  <c r="AF22" i="19"/>
  <c r="AF78" i="20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L84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M84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AD54" i="21"/>
  <c r="AF54" i="21"/>
  <c r="AD57" i="21"/>
  <c r="AE57" i="21"/>
  <c r="AF56" i="21"/>
  <c r="AF63" i="21"/>
  <c r="AE55" i="21"/>
  <c r="AE50" i="21"/>
  <c r="AF75" i="23"/>
  <c r="AD44" i="20"/>
  <c r="Y3" i="20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M84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J84" i="21" s="1"/>
  <c r="AE61" i="20"/>
  <c r="AD61" i="20"/>
  <c r="AF61" i="20"/>
  <c r="AF70" i="20"/>
  <c r="AD36" i="20"/>
  <c r="AE36" i="20"/>
  <c r="AF36" i="20"/>
  <c r="AF31" i="20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AD53" i="19"/>
  <c r="AD27" i="19"/>
  <c r="AE27" i="19"/>
  <c r="AF27" i="19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M84" i="20" s="1"/>
  <c r="M85" i="20" s="1"/>
  <c r="M86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T84" i="22" s="1"/>
  <c r="T85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S84" i="22" s="1"/>
  <c r="S85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S84" i="18" s="1"/>
  <c r="S85" i="18" s="1"/>
  <c r="AD40" i="19"/>
  <c r="AE21" i="19"/>
  <c r="AF3" i="19"/>
  <c r="AF4" i="19" s="1"/>
  <c r="AF5" i="19" s="1"/>
  <c r="AF6" i="19" s="1"/>
  <c r="AF7" i="19" s="1"/>
  <c r="AF8" i="19" s="1"/>
  <c r="AF9" i="19" s="1"/>
  <c r="AF10" i="19" s="1"/>
  <c r="AF11" i="19" s="1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X84" i="20" s="1"/>
  <c r="X85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W84" i="21" s="1"/>
  <c r="W85" i="21" s="1"/>
  <c r="AD68" i="19"/>
  <c r="AD21" i="19"/>
  <c r="AF47" i="20"/>
  <c r="AF35" i="20"/>
  <c r="AF71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P84" i="22" s="1"/>
  <c r="P85" i="22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E47" i="19"/>
  <c r="C88" i="20"/>
  <c r="AE76" i="20"/>
  <c r="AE35" i="20"/>
  <c r="AF14" i="20"/>
  <c r="AE78" i="23"/>
  <c r="AF78" i="23"/>
  <c r="AD83" i="23"/>
  <c r="AF83" i="23"/>
  <c r="AD78" i="23"/>
  <c r="AD68" i="23"/>
  <c r="AE19" i="18"/>
  <c r="AE72" i="19"/>
  <c r="AF33" i="19"/>
  <c r="AE49" i="20"/>
  <c r="AF49" i="20"/>
  <c r="AF81" i="21"/>
  <c r="AF78" i="21"/>
  <c r="AB5" i="17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B4" i="22"/>
  <c r="AB5" i="22" s="1"/>
  <c r="AB6" i="22" s="1"/>
  <c r="AB7" i="22" s="1"/>
  <c r="AD65" i="18"/>
  <c r="AE65" i="18"/>
  <c r="AF52" i="18"/>
  <c r="AD76" i="19"/>
  <c r="AE76" i="19"/>
  <c r="AF76" i="19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V84" i="22" s="1"/>
  <c r="V85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R84" i="22" s="1"/>
  <c r="R85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K84" i="23" s="1"/>
  <c r="K85" i="23" s="1"/>
  <c r="K86" i="23" s="1"/>
  <c r="AE22" i="20"/>
  <c r="AF22" i="20"/>
  <c r="AE51" i="21"/>
  <c r="AE42" i="21"/>
  <c r="AB3" i="22"/>
  <c r="AF5" i="21"/>
  <c r="AF6" i="21" s="1"/>
  <c r="AF7" i="21" s="1"/>
  <c r="AF8" i="21" s="1"/>
  <c r="AF9" i="21" s="1"/>
  <c r="AF10" i="21" s="1"/>
  <c r="AF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Y84" i="21" s="1"/>
  <c r="Y85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L84" i="22" s="1"/>
  <c r="L85" i="22" s="1"/>
  <c r="AD41" i="23"/>
  <c r="AE41" i="23"/>
  <c r="AD49" i="23"/>
  <c r="AF41" i="23"/>
  <c r="AF48" i="23"/>
  <c r="AF43" i="23"/>
  <c r="AE77" i="22"/>
  <c r="AD67" i="22"/>
  <c r="AB62" i="24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AB84" i="24" s="1"/>
  <c r="AB85" i="24" s="1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U84" i="21" s="1"/>
  <c r="U85" i="21" s="1"/>
  <c r="AD47" i="23"/>
  <c r="AD25" i="20"/>
  <c r="AE25" i="20"/>
  <c r="AF25" i="20"/>
  <c r="AF72" i="21"/>
  <c r="AD80" i="21"/>
  <c r="AE80" i="21"/>
  <c r="AE72" i="21"/>
  <c r="AD43" i="21"/>
  <c r="AD14" i="2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O84" i="23" s="1"/>
  <c r="O85" i="23" s="1"/>
  <c r="AB4" i="21"/>
  <c r="AB5" i="21"/>
  <c r="AB6" i="21" s="1"/>
  <c r="AB7" i="21" s="1"/>
  <c r="AB8" i="21" s="1"/>
  <c r="AB9" i="21" s="1"/>
  <c r="AB10" i="21" s="1"/>
  <c r="AB11" i="21" s="1"/>
  <c r="AB12" i="21" s="1"/>
  <c r="AD69" i="22"/>
  <c r="AD71" i="22"/>
  <c r="AD62" i="22"/>
  <c r="AF61" i="22"/>
  <c r="AD53" i="22"/>
  <c r="AD53" i="20"/>
  <c r="AE53" i="20"/>
  <c r="AF53" i="20"/>
  <c r="AE34" i="20"/>
  <c r="AE18" i="21"/>
  <c r="AD56" i="22"/>
  <c r="AD57" i="22"/>
  <c r="AF29" i="22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I84" i="24" s="1"/>
  <c r="I85" i="24" s="1"/>
  <c r="AD80" i="20"/>
  <c r="AE73" i="20"/>
  <c r="AE54" i="20"/>
  <c r="AE77" i="21"/>
  <c r="AE75" i="21"/>
  <c r="AD38" i="21"/>
  <c r="AB13" i="21"/>
  <c r="AB14" i="21" s="1"/>
  <c r="AB15" i="21" s="1"/>
  <c r="AB16" i="21" s="1"/>
  <c r="AB17" i="21" s="1"/>
  <c r="AB18" i="21" s="1"/>
  <c r="AB19" i="21" s="1"/>
  <c r="AB20" i="21" s="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E42" i="20"/>
  <c r="AB36" i="21"/>
  <c r="AD30" i="21"/>
  <c r="AD72" i="22"/>
  <c r="AE72" i="22"/>
  <c r="AF72" i="22"/>
  <c r="AD80" i="22"/>
  <c r="AF80" i="22"/>
  <c r="AF75" i="21"/>
  <c r="AE83" i="21"/>
  <c r="AF83" i="2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4" i="22"/>
  <c r="AE5" i="22" s="1"/>
  <c r="AE6" i="22" s="1"/>
  <c r="AE7" i="22" s="1"/>
  <c r="AE8" i="22" s="1"/>
  <c r="AE9" i="22" s="1"/>
  <c r="AE10" i="22" s="1"/>
  <c r="AE11" i="22" s="1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AD82" i="21"/>
  <c r="AB51" i="21"/>
  <c r="AB52" i="21" s="1"/>
  <c r="AB53" i="21" s="1"/>
  <c r="AB54" i="21" s="1"/>
  <c r="AB55" i="21" s="1"/>
  <c r="AB56" i="21" s="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N84" i="23" s="1"/>
  <c r="N85" i="23" s="1"/>
  <c r="N86" i="23" s="1"/>
  <c r="J17" i="4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J84" i="36" s="1"/>
  <c r="J85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J84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3" i="24"/>
  <c r="AF33" i="24"/>
  <c r="AD40" i="24"/>
  <c r="AE40" i="24"/>
  <c r="AD33" i="24"/>
  <c r="AD20" i="24"/>
  <c r="AE20" i="24"/>
  <c r="AF20" i="24"/>
  <c r="AF28" i="24"/>
  <c r="AD29" i="24"/>
  <c r="AF29" i="24"/>
  <c r="AB9" i="24"/>
  <c r="AB10" i="24" s="1"/>
  <c r="AB11" i="24" s="1"/>
  <c r="AB12" i="24" s="1"/>
  <c r="AB13" i="24" s="1"/>
  <c r="AB14" i="24" s="1"/>
  <c r="AB15" i="24" s="1"/>
  <c r="AB16" i="24" s="1"/>
  <c r="AB17" i="24" s="1"/>
  <c r="AB18" i="24" s="1"/>
  <c r="AB19" i="24" s="1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82" i="25"/>
  <c r="AB83" i="25" s="1"/>
  <c r="AB84" i="25" s="1"/>
  <c r="AB85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I84" i="25" s="1"/>
  <c r="I85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Q84" i="25" s="1"/>
  <c r="Q85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Z84" i="28" s="1"/>
  <c r="Z85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P84" i="25" s="1"/>
  <c r="P85" i="25" s="1"/>
  <c r="AD19" i="21"/>
  <c r="AE19" i="21"/>
  <c r="AF19" i="21"/>
  <c r="AD18" i="22"/>
  <c r="AF18" i="22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R84" i="26" s="1"/>
  <c r="R85" i="26" s="1"/>
  <c r="AB77" i="26"/>
  <c r="AB78" i="26" s="1"/>
  <c r="AB79" i="26" s="1"/>
  <c r="AB80" i="26" s="1"/>
  <c r="AB81" i="26" s="1"/>
  <c r="AB82" i="26" s="1"/>
  <c r="AB83" i="26" s="1"/>
  <c r="AB84" i="26" s="1"/>
  <c r="AF66" i="26"/>
  <c r="AE66" i="26"/>
  <c r="AD74" i="26"/>
  <c r="AE74" i="26"/>
  <c r="AD66" i="26"/>
  <c r="AE75" i="26"/>
  <c r="AF75" i="26"/>
  <c r="AE30" i="23"/>
  <c r="AE50" i="24"/>
  <c r="AF50" i="24"/>
  <c r="AB78" i="21"/>
  <c r="AB79" i="21" s="1"/>
  <c r="AB80" i="21" s="1"/>
  <c r="AB81" i="21" s="1"/>
  <c r="AB82" i="21" s="1"/>
  <c r="AB83" i="21" s="1"/>
  <c r="AB84" i="21" s="1"/>
  <c r="AB85" i="21" s="1"/>
  <c r="AD58" i="21"/>
  <c r="AE23" i="21"/>
  <c r="AE49" i="22"/>
  <c r="AD35" i="22"/>
  <c r="AE27" i="22"/>
  <c r="AD25" i="22"/>
  <c r="AF25" i="22"/>
  <c r="AE60" i="23"/>
  <c r="AF57" i="23"/>
  <c r="X3" i="23"/>
  <c r="AD3" i="24"/>
  <c r="AD4" i="24" s="1"/>
  <c r="AD5" i="24" s="1"/>
  <c r="AD6" i="24" s="1"/>
  <c r="AD7" i="24" s="1"/>
  <c r="AD8" i="24" s="1"/>
  <c r="AD9" i="24" s="1"/>
  <c r="AD10" i="24" s="1"/>
  <c r="AD11" i="24" s="1"/>
  <c r="AE16" i="21"/>
  <c r="T3" i="21"/>
  <c r="AB40" i="22"/>
  <c r="AB41" i="22" s="1"/>
  <c r="AB42" i="22" s="1"/>
  <c r="AB43" i="22" s="1"/>
  <c r="AB44" i="22" s="1"/>
  <c r="AB45" i="22" s="1"/>
  <c r="AB46" i="22" s="1"/>
  <c r="AB47" i="22" s="1"/>
  <c r="AB48" i="22" s="1"/>
  <c r="AB49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K84" i="26" s="1"/>
  <c r="K85" i="26" s="1"/>
  <c r="K86" i="26" s="1"/>
  <c r="AE53" i="21"/>
  <c r="AF53" i="21"/>
  <c r="AB37" i="21"/>
  <c r="AB38" i="21" s="1"/>
  <c r="AB39" i="21" s="1"/>
  <c r="AB40" i="21" s="1"/>
  <c r="AB41" i="21" s="1"/>
  <c r="AB42" i="21" s="1"/>
  <c r="AB43" i="21" s="1"/>
  <c r="AF3" i="21"/>
  <c r="AF4" i="21" s="1"/>
  <c r="S3" i="21"/>
  <c r="AD15" i="22"/>
  <c r="AF77" i="23"/>
  <c r="AB58" i="23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L84" i="23" s="1"/>
  <c r="AD68" i="22"/>
  <c r="AD29" i="22"/>
  <c r="AE23" i="22"/>
  <c r="AF23" i="22"/>
  <c r="AF15" i="22"/>
  <c r="AE26" i="23"/>
  <c r="AB38" i="24"/>
  <c r="AB39" i="24"/>
  <c r="AB40" i="24" s="1"/>
  <c r="AB41" i="24" s="1"/>
  <c r="AB42" i="24" s="1"/>
  <c r="AB43" i="24" s="1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P84" i="27" s="1"/>
  <c r="P85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K84" i="22" s="1"/>
  <c r="K85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L84" i="26" s="1"/>
  <c r="AF24" i="22"/>
  <c r="AB10" i="22"/>
  <c r="AB11" i="22" s="1"/>
  <c r="AB12" i="22" s="1"/>
  <c r="AB13" i="22" s="1"/>
  <c r="AB14" i="22" s="1"/>
  <c r="AB15" i="22" s="1"/>
  <c r="AB16" i="22" s="1"/>
  <c r="AB17" i="22" s="1"/>
  <c r="AD65" i="23"/>
  <c r="AE65" i="23"/>
  <c r="AF65" i="23"/>
  <c r="AD74" i="23"/>
  <c r="AE74" i="23"/>
  <c r="AF74" i="23"/>
  <c r="AB32" i="22"/>
  <c r="AE24" i="22"/>
  <c r="AE71" i="23"/>
  <c r="AD48" i="23"/>
  <c r="AE48" i="23"/>
  <c r="AD57" i="23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N84" i="22" s="1"/>
  <c r="N85" i="22" s="1"/>
  <c r="AD71" i="23"/>
  <c r="AF68" i="23"/>
  <c r="AE15" i="23"/>
  <c r="AF20" i="23"/>
  <c r="AE36" i="24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M84" i="22" s="1"/>
  <c r="M85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B60" i="23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J84" i="22" s="1"/>
  <c r="J85" i="22" s="1"/>
  <c r="AD53" i="23"/>
  <c r="AE59" i="23"/>
  <c r="AD58" i="23"/>
  <c r="AE58" i="23"/>
  <c r="AF58" i="23"/>
  <c r="AD50" i="23"/>
  <c r="AF50" i="23"/>
  <c r="AE47" i="23"/>
  <c r="AF25" i="23"/>
  <c r="AD2" i="24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E41" i="22"/>
  <c r="AF41" i="22"/>
  <c r="AB36" i="22"/>
  <c r="AB37" i="22" s="1"/>
  <c r="AB38" i="22" s="1"/>
  <c r="AE26" i="22"/>
  <c r="AF26" i="22"/>
  <c r="AF19" i="22"/>
  <c r="I3" i="22"/>
  <c r="AF53" i="23"/>
  <c r="AF60" i="23"/>
  <c r="AE53" i="23"/>
  <c r="AE61" i="23"/>
  <c r="AD58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Y84" i="23" s="1"/>
  <c r="Y85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R84" i="21" s="1"/>
  <c r="R85" i="21" s="1"/>
  <c r="AB50" i="22"/>
  <c r="AB51" i="22" s="1"/>
  <c r="AB52" i="22" s="1"/>
  <c r="AB53" i="22" s="1"/>
  <c r="AB54" i="22" s="1"/>
  <c r="AB55" i="22" s="1"/>
  <c r="AB56" i="22" s="1"/>
  <c r="AB57" i="22" s="1"/>
  <c r="AB58" i="22" s="1"/>
  <c r="AB59" i="22" s="1"/>
  <c r="AB60" i="22" s="1"/>
  <c r="AB61" i="22" s="1"/>
  <c r="AB62" i="22" s="1"/>
  <c r="AB63" i="22" s="1"/>
  <c r="AB64" i="22" s="1"/>
  <c r="AB65" i="22" s="1"/>
  <c r="AB66" i="22" s="1"/>
  <c r="AB67" i="22" s="1"/>
  <c r="AB68" i="22" s="1"/>
  <c r="AB69" i="22" s="1"/>
  <c r="AB70" i="22" s="1"/>
  <c r="AB71" i="22" s="1"/>
  <c r="AB72" i="22" s="1"/>
  <c r="AB73" i="22" s="1"/>
  <c r="AB74" i="22" s="1"/>
  <c r="AB75" i="22" s="1"/>
  <c r="AB76" i="22" s="1"/>
  <c r="AB77" i="22" s="1"/>
  <c r="AB78" i="22" s="1"/>
  <c r="AB79" i="22" s="1"/>
  <c r="AB80" i="22" s="1"/>
  <c r="AB81" i="22" s="1"/>
  <c r="AB82" i="22" s="1"/>
  <c r="AB83" i="22" s="1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8" i="25"/>
  <c r="AB68" i="26"/>
  <c r="AB69" i="26" s="1"/>
  <c r="AB70" i="26" s="1"/>
  <c r="AB71" i="26" s="1"/>
  <c r="AB72" i="26" s="1"/>
  <c r="AB73" i="26" s="1"/>
  <c r="AB74" i="26" s="1"/>
  <c r="AB75" i="26" s="1"/>
  <c r="AB76" i="26" s="1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AE22" i="22"/>
  <c r="AD13" i="22"/>
  <c r="AD76" i="23"/>
  <c r="AE80" i="23"/>
  <c r="AF80" i="23"/>
  <c r="AE79" i="23"/>
  <c r="AE33" i="23"/>
  <c r="AD29" i="23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R84" i="25" s="1"/>
  <c r="R85" i="25" s="1"/>
  <c r="AB62" i="23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B84" i="23" s="1"/>
  <c r="AD39" i="23"/>
  <c r="AB5" i="23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N84" i="26" s="1"/>
  <c r="N85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V84" i="25" s="1"/>
  <c r="V85" i="25" s="1"/>
  <c r="AF73" i="26"/>
  <c r="AD61" i="22"/>
  <c r="AF14" i="22"/>
  <c r="AF76" i="23"/>
  <c r="AE63" i="23"/>
  <c r="AB61" i="23"/>
  <c r="AD42" i="23"/>
  <c r="AE40" i="23"/>
  <c r="AF22" i="23"/>
  <c r="AF36" i="24"/>
  <c r="N4" i="24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U84" i="25" s="1"/>
  <c r="U85" i="25" s="1"/>
  <c r="AD54" i="22"/>
  <c r="AE14" i="22"/>
  <c r="AF79" i="23"/>
  <c r="AF56" i="23"/>
  <c r="AE56" i="23"/>
  <c r="AF27" i="23"/>
  <c r="W6" i="23"/>
  <c r="AD3" i="23"/>
  <c r="AD4" i="23" s="1"/>
  <c r="AD5" i="23" s="1"/>
  <c r="AD6" i="23" s="1"/>
  <c r="AD7" i="23" s="1"/>
  <c r="AD8" i="23" s="1"/>
  <c r="AD9" i="23" s="1"/>
  <c r="AD10" i="23" s="1"/>
  <c r="AD11" i="23" s="1"/>
  <c r="AE3" i="23"/>
  <c r="AE4" i="23" s="1"/>
  <c r="AE5" i="23" s="1"/>
  <c r="AE6" i="23" s="1"/>
  <c r="AE7" i="23" s="1"/>
  <c r="AE8" i="23" s="1"/>
  <c r="AE9" i="23" s="1"/>
  <c r="AE10" i="23" s="1"/>
  <c r="AE11" i="23" s="1"/>
  <c r="AD47" i="24"/>
  <c r="AF40" i="24"/>
  <c r="AB7" i="24"/>
  <c r="AB8" i="24" s="1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M84" i="24" s="1"/>
  <c r="M85" i="24" s="1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W84" i="26" s="1"/>
  <c r="W85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AD36" i="25"/>
  <c r="AF23" i="25"/>
  <c r="AD16" i="25"/>
  <c r="AE16" i="25"/>
  <c r="AF16" i="25"/>
  <c r="AD31" i="24"/>
  <c r="AE31" i="24"/>
  <c r="AF31" i="24"/>
  <c r="AE29" i="24"/>
  <c r="AB76" i="25"/>
  <c r="AB77" i="25" s="1"/>
  <c r="AB78" i="25" s="1"/>
  <c r="AB79" i="25" s="1"/>
  <c r="AB80" i="25" s="1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Z84" i="25" s="1"/>
  <c r="Z85" i="25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Q84" i="26" s="1"/>
  <c r="Q85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W84" i="27" s="1"/>
  <c r="W85" i="27" s="1"/>
  <c r="AD79" i="24"/>
  <c r="AF56" i="24"/>
  <c r="AD34" i="24"/>
  <c r="AE30" i="24"/>
  <c r="AF30" i="24"/>
  <c r="AE48" i="25"/>
  <c r="AB40" i="25"/>
  <c r="AE13" i="25"/>
  <c r="AD71" i="24"/>
  <c r="AB6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Q84" i="24" s="1"/>
  <c r="Q85" i="24" s="1"/>
  <c r="AD82" i="25"/>
  <c r="AD48" i="25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J84" i="25" s="1"/>
  <c r="J85" i="25" s="1"/>
  <c r="J86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M84" i="25" s="1"/>
  <c r="M85" i="25" s="1"/>
  <c r="M86" i="25" s="1"/>
  <c r="AF65" i="24"/>
  <c r="AE39" i="24"/>
  <c r="AF26" i="24"/>
  <c r="AE35" i="24"/>
  <c r="AF35" i="24"/>
  <c r="AE76" i="25"/>
  <c r="AD65" i="25"/>
  <c r="AD53" i="25"/>
  <c r="AF50" i="25"/>
  <c r="AD22" i="25"/>
  <c r="AF17" i="25"/>
  <c r="AE83" i="23"/>
  <c r="AD62" i="23"/>
  <c r="AE62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W84" i="24" s="1"/>
  <c r="W85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V84" i="27" s="1"/>
  <c r="V85" i="27" s="1"/>
  <c r="AF58" i="21"/>
  <c r="AF51" i="21"/>
  <c r="AF44" i="21"/>
  <c r="AF37" i="21"/>
  <c r="AF30" i="21"/>
  <c r="AF23" i="21"/>
  <c r="AF16" i="21"/>
  <c r="AF2" i="2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T84" i="23" s="1"/>
  <c r="T85" i="23" s="1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S84" i="23" s="1"/>
  <c r="S85" i="23" s="1"/>
  <c r="AD64" i="24"/>
  <c r="AD41" i="24"/>
  <c r="AE41" i="24"/>
  <c r="S3" i="24"/>
  <c r="AD49" i="25"/>
  <c r="AF49" i="25"/>
  <c r="AE49" i="25"/>
  <c r="AD80" i="26"/>
  <c r="AF80" i="26"/>
  <c r="AE82" i="26"/>
  <c r="AF82" i="26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L84" i="25" s="1"/>
  <c r="L85" i="25" s="1"/>
  <c r="L86" i="25" s="1"/>
  <c r="AE39" i="25"/>
  <c r="AD39" i="25"/>
  <c r="AE36" i="25"/>
  <c r="AF36" i="25"/>
  <c r="AD62" i="27"/>
  <c r="AD32" i="28"/>
  <c r="AF32" i="28"/>
  <c r="AD36" i="28"/>
  <c r="AE32" i="28"/>
  <c r="AD68" i="25"/>
  <c r="AF42" i="25"/>
  <c r="AB30" i="26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S84" i="26" s="1"/>
  <c r="S85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T84" i="26" s="1"/>
  <c r="T85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P84" i="26" s="1"/>
  <c r="P85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T84" i="27" s="1"/>
  <c r="T85" i="27" s="1"/>
  <c r="AB42" i="25"/>
  <c r="AB43" i="25" s="1"/>
  <c r="AB44" i="25" s="1"/>
  <c r="AB45" i="25" s="1"/>
  <c r="AB46" i="25" s="1"/>
  <c r="AB47" i="25" s="1"/>
  <c r="AB48" i="25" s="1"/>
  <c r="AB49" i="25" s="1"/>
  <c r="AB50" i="25" s="1"/>
  <c r="AB51" i="25" s="1"/>
  <c r="AB52" i="25" s="1"/>
  <c r="AB53" i="25" s="1"/>
  <c r="AB54" i="25" s="1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Y84" i="25" s="1"/>
  <c r="Y85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O84" i="27" s="1"/>
  <c r="O85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B12" i="25"/>
  <c r="AD32" i="26"/>
  <c r="AD41" i="26"/>
  <c r="AE41" i="26"/>
  <c r="AE32" i="26"/>
  <c r="AD36" i="26"/>
  <c r="AD39" i="26"/>
  <c r="AD16" i="24"/>
  <c r="AE16" i="24"/>
  <c r="AB4" i="24"/>
  <c r="AB5" i="24" s="1"/>
  <c r="AE74" i="25"/>
  <c r="AD78" i="26"/>
  <c r="AF46" i="26"/>
  <c r="AF28" i="23"/>
  <c r="AD20" i="23"/>
  <c r="AE44" i="24"/>
  <c r="AF44" i="24"/>
  <c r="AD23" i="25"/>
  <c r="AE23" i="25"/>
  <c r="AD46" i="26"/>
  <c r="AB9" i="25"/>
  <c r="AB3" i="25"/>
  <c r="AB4" i="25" s="1"/>
  <c r="AB5" i="25" s="1"/>
  <c r="AB6" i="25" s="1"/>
  <c r="AB7" i="25" s="1"/>
  <c r="AB8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AD82" i="26"/>
  <c r="AD54" i="26"/>
  <c r="AE62" i="26"/>
  <c r="AF54" i="26"/>
  <c r="AE63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X84" i="27" s="1"/>
  <c r="X85" i="27" s="1"/>
  <c r="AD76" i="26"/>
  <c r="AE76" i="26"/>
  <c r="AE72" i="25"/>
  <c r="AD65" i="26"/>
  <c r="AF63" i="26"/>
  <c r="AF36" i="26"/>
  <c r="AB31" i="26"/>
  <c r="AB32" i="26" s="1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3" i="26"/>
  <c r="AE68" i="26"/>
  <c r="AF68" i="26"/>
  <c r="AF59" i="26"/>
  <c r="AF47" i="26"/>
  <c r="AF56" i="26"/>
  <c r="AF38" i="26"/>
  <c r="AE15" i="25"/>
  <c r="AE61" i="26"/>
  <c r="AD38" i="26"/>
  <c r="AB4" i="27"/>
  <c r="AB5" i="27" s="1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AF81" i="26"/>
  <c r="AF51" i="26"/>
  <c r="AF33" i="26"/>
  <c r="AE68" i="27"/>
  <c r="AE34" i="23"/>
  <c r="AE27" i="23"/>
  <c r="AE20" i="23"/>
  <c r="AE13" i="23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AB77" i="27"/>
  <c r="AB78" i="27" s="1"/>
  <c r="AB79" i="27" s="1"/>
  <c r="AD24" i="26"/>
  <c r="AD58" i="27"/>
  <c r="AE24" i="25"/>
  <c r="AD24" i="25"/>
  <c r="AF24" i="25"/>
  <c r="AE3" i="25"/>
  <c r="AE4" i="25" s="1"/>
  <c r="AE5" i="25" s="1"/>
  <c r="AE6" i="25" s="1"/>
  <c r="AE7" i="25" s="1"/>
  <c r="AE8" i="25" s="1"/>
  <c r="AE9" i="25" s="1"/>
  <c r="AE10" i="25" s="1"/>
  <c r="AE11" i="25" s="1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I84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N84" i="29" s="1"/>
  <c r="N85" i="29" s="1"/>
  <c r="AF44" i="26"/>
  <c r="AD53" i="26"/>
  <c r="AE53" i="26"/>
  <c r="AD44" i="26"/>
  <c r="AF38" i="27"/>
  <c r="AE34" i="27"/>
  <c r="AD44" i="28"/>
  <c r="AE77" i="27"/>
  <c r="AB33" i="26"/>
  <c r="AF21" i="26"/>
  <c r="AE21" i="26"/>
  <c r="AE68" i="28"/>
  <c r="AD52" i="28"/>
  <c r="AE17" i="26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L84" i="27" s="1"/>
  <c r="L85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K84" i="27" s="1"/>
  <c r="K85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AB68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K84" i="28" s="1"/>
  <c r="K85" i="28" s="1"/>
  <c r="AF34" i="26"/>
  <c r="AD74" i="27"/>
  <c r="AE74" i="27"/>
  <c r="AF32" i="27"/>
  <c r="AB34" i="26"/>
  <c r="AB35" i="26" s="1"/>
  <c r="AB36" i="26" s="1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U84" i="28" s="1"/>
  <c r="U85" i="28" s="1"/>
  <c r="AE72" i="27"/>
  <c r="AE64" i="27"/>
  <c r="AF36" i="27"/>
  <c r="AE79" i="28"/>
  <c r="AD79" i="28"/>
  <c r="AF79" i="28"/>
  <c r="AD83" i="28"/>
  <c r="AE83" i="28"/>
  <c r="AD48" i="28"/>
  <c r="AE43" i="26"/>
  <c r="AE76" i="27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W84" i="28" s="1"/>
  <c r="W85" i="28" s="1"/>
  <c r="AE61" i="27"/>
  <c r="AE53" i="27"/>
  <c r="AD41" i="27"/>
  <c r="AF34" i="27"/>
  <c r="AE25" i="27"/>
  <c r="AE22" i="27"/>
  <c r="Q10" i="29"/>
  <c r="AD49" i="27"/>
  <c r="AE41" i="28"/>
  <c r="AF41" i="28"/>
  <c r="AD50" i="28"/>
  <c r="AD41" i="28"/>
  <c r="AF31" i="27"/>
  <c r="T4" i="28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L84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D43" i="27"/>
  <c r="AF43" i="27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W84" i="29" s="1"/>
  <c r="W85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V84" i="28" s="1"/>
  <c r="V85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R84" i="29" s="1"/>
  <c r="R85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Y84" i="28" s="1"/>
  <c r="Y85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S84" i="28" s="1"/>
  <c r="S85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X84" i="29" s="1"/>
  <c r="X85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L84" i="36" s="1"/>
  <c r="L85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Z84" i="27" s="1"/>
  <c r="Z85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21" i="28"/>
  <c r="AF13" i="28"/>
  <c r="AE41" i="29"/>
  <c r="AE50" i="29"/>
  <c r="AF50" i="29"/>
  <c r="AF46" i="29"/>
  <c r="AE56" i="27"/>
  <c r="AF4" i="27"/>
  <c r="AF5" i="27" s="1"/>
  <c r="AF6" i="27" s="1"/>
  <c r="AF7" i="27" s="1"/>
  <c r="AF8" i="27" s="1"/>
  <c r="AF9" i="27" s="1"/>
  <c r="AF10" i="27" s="1"/>
  <c r="AF11" i="27" s="1"/>
  <c r="AE72" i="28"/>
  <c r="AD56" i="28"/>
  <c r="AF27" i="27"/>
  <c r="AD79" i="29"/>
  <c r="AF2" i="27"/>
  <c r="AF3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P84" i="28" s="1"/>
  <c r="P85" i="28" s="1"/>
  <c r="AF27" i="26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O84" i="28" s="1"/>
  <c r="O85" i="28" s="1"/>
  <c r="AF44" i="29"/>
  <c r="AB55" i="27"/>
  <c r="AB56" i="27" s="1"/>
  <c r="AB57" i="27" s="1"/>
  <c r="AB58" i="27" s="1"/>
  <c r="AB59" i="27" s="1"/>
  <c r="AB60" i="27" s="1"/>
  <c r="AB61" i="27" s="1"/>
  <c r="AB62" i="27" s="1"/>
  <c r="AB63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M84" i="28" s="1"/>
  <c r="M85" i="28" s="1"/>
  <c r="M86" i="28" s="1"/>
  <c r="I39" i="4" s="1"/>
  <c r="AE62" i="29"/>
  <c r="AD44" i="29"/>
  <c r="AF13" i="26"/>
  <c r="AF70" i="27"/>
  <c r="AE40" i="27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Z84" i="29" s="1"/>
  <c r="Z85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T84" i="30" s="1"/>
  <c r="T85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J84" i="28" s="1"/>
  <c r="J85" i="28" s="1"/>
  <c r="J86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Y84" i="29" s="1"/>
  <c r="Y85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I84" i="28" s="1"/>
  <c r="I85" i="28" s="1"/>
  <c r="I86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Y84" i="30" s="1"/>
  <c r="Y85" i="30" s="1"/>
  <c r="AD49" i="29"/>
  <c r="AE49" i="29"/>
  <c r="AF48" i="29"/>
  <c r="AE37" i="29"/>
  <c r="AE30" i="29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B13" i="29" s="1"/>
  <c r="AB14" i="29" s="1"/>
  <c r="AB15" i="29" s="1"/>
  <c r="AB16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E5" i="28"/>
  <c r="AE6" i="28" s="1"/>
  <c r="AE7" i="28" s="1"/>
  <c r="AE8" i="28" s="1"/>
  <c r="AE9" i="28" s="1"/>
  <c r="AE10" i="28" s="1"/>
  <c r="AE11" i="28" s="1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Y84" i="31" s="1"/>
  <c r="Y85" i="31" s="1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X84" i="30" s="1"/>
  <c r="X85" i="30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J84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X84" i="31" s="1"/>
  <c r="X85" i="31" s="1"/>
  <c r="AD21" i="27"/>
  <c r="AE21" i="27"/>
  <c r="AE23" i="28"/>
  <c r="AE15" i="28"/>
  <c r="AE65" i="29"/>
  <c r="AE58" i="29"/>
  <c r="AF75" i="30"/>
  <c r="AD26" i="28"/>
  <c r="AE26" i="28"/>
  <c r="AF26" i="28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S84" i="29" s="1"/>
  <c r="S85" i="29" s="1"/>
  <c r="M8" i="29"/>
  <c r="AF55" i="30"/>
  <c r="AF63" i="30"/>
  <c r="AD63" i="30"/>
  <c r="AE63" i="30"/>
  <c r="AE55" i="30"/>
  <c r="AE49" i="27"/>
  <c r="AD14" i="27"/>
  <c r="AE14" i="27"/>
  <c r="AE65" i="28"/>
  <c r="AF65" i="28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84" i="30" s="1"/>
  <c r="U85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U84" i="31" s="1"/>
  <c r="U85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39" i="29"/>
  <c r="AF12" i="29"/>
  <c r="AD14" i="29"/>
  <c r="AE14" i="29"/>
  <c r="AF52" i="29"/>
  <c r="AE52" i="29"/>
  <c r="AD39" i="29"/>
  <c r="AE2" i="29"/>
  <c r="AE3" i="29" s="1"/>
  <c r="AE4" i="29" s="1"/>
  <c r="AE5" i="29" s="1"/>
  <c r="AE6" i="29" s="1"/>
  <c r="AE7" i="29" s="1"/>
  <c r="AE8" i="29" s="1"/>
  <c r="AE9" i="29" s="1"/>
  <c r="AE10" i="29" s="1"/>
  <c r="AE11" i="29" s="1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M84" i="30" s="1"/>
  <c r="M85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P84" i="32" s="1"/>
  <c r="P85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L84" i="30" s="1"/>
  <c r="L85" i="30" s="1"/>
  <c r="L86" i="30" s="1"/>
  <c r="AD40" i="29"/>
  <c r="AB20" i="29"/>
  <c r="AB21" i="29" s="1"/>
  <c r="AB22" i="29" s="1"/>
  <c r="AB23" i="29" s="1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D56" i="30"/>
  <c r="AB41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K84" i="30" s="1"/>
  <c r="K85" i="30" s="1"/>
  <c r="AF59" i="29"/>
  <c r="AF45" i="29"/>
  <c r="AE16" i="29"/>
  <c r="AF16" i="29"/>
  <c r="AE59" i="29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B37" i="30" s="1"/>
  <c r="AB38" i="30" s="1"/>
  <c r="AB39" i="30" s="1"/>
  <c r="AB40" i="30" s="1"/>
  <c r="AD62" i="29"/>
  <c r="AE28" i="29"/>
  <c r="AF28" i="29"/>
  <c r="AF26" i="29"/>
  <c r="AF60" i="30"/>
  <c r="AD60" i="30"/>
  <c r="AD67" i="30"/>
  <c r="AE46" i="30"/>
  <c r="AD56" i="29"/>
  <c r="AD26" i="29"/>
  <c r="AD30" i="29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N84" i="30" s="1"/>
  <c r="AF12" i="31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S84" i="31" s="1"/>
  <c r="S85" i="31" s="1"/>
  <c r="AD17" i="30"/>
  <c r="AB44" i="30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D33" i="30"/>
  <c r="AE30" i="30"/>
  <c r="AE26" i="29"/>
  <c r="AD25" i="30"/>
  <c r="AF38" i="29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N84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K84" i="31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I84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O84" i="31" s="1"/>
  <c r="O85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B84" i="29" s="1"/>
  <c r="AD48" i="30"/>
  <c r="AD19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M84" i="31" s="1"/>
  <c r="M85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W84" i="31" s="1"/>
  <c r="W85" i="31" s="1"/>
  <c r="AE67" i="30"/>
  <c r="AF67" i="30"/>
  <c r="AE47" i="32"/>
  <c r="AE56" i="32"/>
  <c r="AF56" i="32"/>
  <c r="AD47" i="32"/>
  <c r="AF47" i="32"/>
  <c r="T3" i="32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V84" i="32" s="1"/>
  <c r="V85" i="32" s="1"/>
  <c r="AD58" i="30"/>
  <c r="AE58" i="30"/>
  <c r="AE61" i="30"/>
  <c r="AF25" i="30"/>
  <c r="AB74" i="31"/>
  <c r="AB75" i="31" s="1"/>
  <c r="AB76" i="31" s="1"/>
  <c r="AB77" i="31" s="1"/>
  <c r="AE51" i="31"/>
  <c r="AF60" i="31"/>
  <c r="AD58" i="31"/>
  <c r="AE58" i="31"/>
  <c r="AF58" i="31"/>
  <c r="AD60" i="31"/>
  <c r="AE60" i="31"/>
  <c r="AE56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I84" i="32" s="1"/>
  <c r="I85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J84" i="30" s="1"/>
  <c r="J85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S84" i="32" s="1"/>
  <c r="S85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4" i="30"/>
  <c r="AF5" i="30" s="1"/>
  <c r="AF6" i="30" s="1"/>
  <c r="AF7" i="30" s="1"/>
  <c r="AF8" i="30" s="1"/>
  <c r="AF9" i="30" s="1"/>
  <c r="AF10" i="30" s="1"/>
  <c r="AF11" i="30" s="1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B5" i="31"/>
  <c r="AB6" i="31"/>
  <c r="AB7" i="31" s="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Z84" i="31" s="1"/>
  <c r="Z85" i="31" s="1"/>
  <c r="AF62" i="32"/>
  <c r="AD68" i="32"/>
  <c r="AD68" i="30"/>
  <c r="AF48" i="30"/>
  <c r="AF45" i="30"/>
  <c r="AE79" i="31"/>
  <c r="AD79" i="31"/>
  <c r="AD64" i="31"/>
  <c r="AB54" i="3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V84" i="30" s="1"/>
  <c r="V85" i="30" s="1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B17" i="30"/>
  <c r="AB18" i="30" s="1"/>
  <c r="AB19" i="30" s="1"/>
  <c r="AB20" i="30" s="1"/>
  <c r="AB21" i="30" s="1"/>
  <c r="AB22" i="30" s="1"/>
  <c r="AB23" i="30" s="1"/>
  <c r="AB24" i="30" s="1"/>
  <c r="AB25" i="30" s="1"/>
  <c r="AE15" i="30"/>
  <c r="AD3" i="30"/>
  <c r="AD4" i="30" s="1"/>
  <c r="AE38" i="31"/>
  <c r="AD35" i="31"/>
  <c r="AF22" i="31"/>
  <c r="AE17" i="31"/>
  <c r="AF17" i="31"/>
  <c r="AE25" i="31"/>
  <c r="AF25" i="31"/>
  <c r="AE26" i="31"/>
  <c r="AE72" i="32"/>
  <c r="AF57" i="30"/>
  <c r="AF43" i="30"/>
  <c r="AE81" i="31"/>
  <c r="AF78" i="31"/>
  <c r="AD38" i="31"/>
  <c r="AE47" i="31"/>
  <c r="AF35" i="31"/>
  <c r="AE35" i="31"/>
  <c r="AD42" i="31"/>
  <c r="AE42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R84" i="30" s="1"/>
  <c r="R85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M84" i="32" s="1"/>
  <c r="M85" i="32" s="1"/>
  <c r="AD24" i="31"/>
  <c r="AF55" i="32"/>
  <c r="AD55" i="32"/>
  <c r="AF64" i="32"/>
  <c r="AD57" i="32"/>
  <c r="AE57" i="32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O84" i="32" s="1"/>
  <c r="O85" i="32" s="1"/>
  <c r="AF82" i="34"/>
  <c r="AD27" i="30"/>
  <c r="AB79" i="31"/>
  <c r="AB80" i="31" s="1"/>
  <c r="AB81" i="31" s="1"/>
  <c r="AB82" i="31" s="1"/>
  <c r="AB83" i="31" s="1"/>
  <c r="AB84" i="31" s="1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P84" i="31" s="1"/>
  <c r="P85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W84" i="33" s="1"/>
  <c r="W85" i="33" s="1"/>
  <c r="AD78" i="32"/>
  <c r="AF78" i="32"/>
  <c r="AE80" i="32"/>
  <c r="AF80" i="32"/>
  <c r="AE71" i="32"/>
  <c r="AD79" i="32"/>
  <c r="AF79" i="32"/>
  <c r="AD71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V84" i="33" s="1"/>
  <c r="V85" i="33" s="1"/>
  <c r="AE75" i="31"/>
  <c r="AF83" i="31"/>
  <c r="AE37" i="31"/>
  <c r="AD28" i="31"/>
  <c r="AF22" i="33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I84" i="36" s="1"/>
  <c r="I85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D22" i="31"/>
  <c r="AE22" i="31"/>
  <c r="T5" i="33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K84" i="32" s="1"/>
  <c r="K85" i="32" s="1"/>
  <c r="AF61" i="32"/>
  <c r="AD70" i="32"/>
  <c r="AE70" i="32"/>
  <c r="AF70" i="32"/>
  <c r="AD61" i="32"/>
  <c r="AE61" i="32"/>
  <c r="J11" i="4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J84" i="32" s="1"/>
  <c r="J85" i="32" s="1"/>
  <c r="AD5" i="30"/>
  <c r="AD6" i="30" s="1"/>
  <c r="AD7" i="30" s="1"/>
  <c r="AD8" i="30" s="1"/>
  <c r="AD9" i="30" s="1"/>
  <c r="AD10" i="30" s="1"/>
  <c r="AD11" i="30" s="1"/>
  <c r="AF47" i="31"/>
  <c r="AD47" i="31"/>
  <c r="AD48" i="31"/>
  <c r="AE48" i="31"/>
  <c r="AE39" i="31"/>
  <c r="AD34" i="31"/>
  <c r="AF15" i="31"/>
  <c r="AE65" i="32"/>
  <c r="AF65" i="32"/>
  <c r="AF57" i="32"/>
  <c r="AE51" i="32"/>
  <c r="AD51" i="32"/>
  <c r="AF51" i="32"/>
  <c r="AD42" i="32"/>
  <c r="AE42" i="32"/>
  <c r="AF42" i="32"/>
  <c r="AF42" i="31"/>
  <c r="AD27" i="31"/>
  <c r="AD15" i="31"/>
  <c r="AE15" i="31"/>
  <c r="AE24" i="31"/>
  <c r="AF24" i="31"/>
  <c r="AD73" i="32"/>
  <c r="AD29" i="32"/>
  <c r="AD38" i="32"/>
  <c r="AE38" i="32"/>
  <c r="AF38" i="32"/>
  <c r="AE36" i="32"/>
  <c r="AB5" i="33"/>
  <c r="AB6" i="33" s="1"/>
  <c r="AB7" i="33" s="1"/>
  <c r="AE35" i="32"/>
  <c r="AF65" i="34"/>
  <c r="AD65" i="34"/>
  <c r="AD74" i="34"/>
  <c r="AF66" i="34"/>
  <c r="AE70" i="34"/>
  <c r="AE74" i="34"/>
  <c r="AD72" i="34"/>
  <c r="AF74" i="34"/>
  <c r="AE65" i="34"/>
  <c r="AF72" i="34"/>
  <c r="AB17" i="32"/>
  <c r="AB18" i="32" s="1"/>
  <c r="AB19" i="32" s="1"/>
  <c r="AB20" i="32" s="1"/>
  <c r="AB21" i="32" s="1"/>
  <c r="AB22" i="32" s="1"/>
  <c r="AB23" i="32" s="1"/>
  <c r="AB24" i="32" s="1"/>
  <c r="AB25" i="32" s="1"/>
  <c r="AB26" i="32" s="1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L84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E19" i="32"/>
  <c r="AF16" i="32"/>
  <c r="AE25" i="32"/>
  <c r="AF25" i="32"/>
  <c r="AE24" i="32"/>
  <c r="AD16" i="32"/>
  <c r="AF22" i="32"/>
  <c r="AD12" i="32"/>
  <c r="AF12" i="32"/>
  <c r="AE12" i="32"/>
  <c r="AF21" i="32"/>
  <c r="AE69" i="34"/>
  <c r="AD48" i="32"/>
  <c r="AE45" i="32"/>
  <c r="AF45" i="32"/>
  <c r="AD28" i="32"/>
  <c r="AF28" i="32"/>
  <c r="AF62" i="33"/>
  <c r="AD69" i="33"/>
  <c r="AD62" i="33"/>
  <c r="AE69" i="33"/>
  <c r="AE68" i="33"/>
  <c r="AE33" i="31"/>
  <c r="AD25" i="31"/>
  <c r="AD2" i="33"/>
  <c r="AD3" i="33" s="1"/>
  <c r="AD4" i="33" s="1"/>
  <c r="AD5" i="33" s="1"/>
  <c r="AD6" i="33" s="1"/>
  <c r="AD7" i="33" s="1"/>
  <c r="AD8" i="33" s="1"/>
  <c r="AD9" i="33" s="1"/>
  <c r="AD10" i="33" s="1"/>
  <c r="AD11" i="33" s="1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D75" i="33"/>
  <c r="AE75" i="33"/>
  <c r="AF75" i="33"/>
  <c r="AD80" i="33"/>
  <c r="AE80" i="33"/>
  <c r="AE78" i="33"/>
  <c r="AF78" i="33"/>
  <c r="AB2" i="33"/>
  <c r="AB3" i="33" s="1"/>
  <c r="AE76" i="34"/>
  <c r="AF76" i="34"/>
  <c r="AD68" i="34"/>
  <c r="AE68" i="34"/>
  <c r="AF68" i="34"/>
  <c r="AF18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Y84" i="32" s="1"/>
  <c r="Y85" i="32" s="1"/>
  <c r="AF83" i="33"/>
  <c r="AE83" i="33"/>
  <c r="AD83" i="33"/>
  <c r="Z3" i="33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U84" i="32" s="1"/>
  <c r="U85" i="32" s="1"/>
  <c r="AE77" i="33"/>
  <c r="AF41" i="33"/>
  <c r="AD50" i="33"/>
  <c r="AE50" i="33"/>
  <c r="AF50" i="33"/>
  <c r="AD41" i="33"/>
  <c r="AB27" i="32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B10" i="33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E83" i="31"/>
  <c r="AD44" i="33"/>
  <c r="AD53" i="33"/>
  <c r="AE53" i="33"/>
  <c r="AF53" i="33"/>
  <c r="AE51" i="33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M84" i="34" s="1"/>
  <c r="M85" i="34" s="1"/>
  <c r="M86" i="34" s="1"/>
  <c r="AD65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P84" i="34" s="1"/>
  <c r="P85" i="34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14" i="32"/>
  <c r="AD61" i="33"/>
  <c r="N3" i="33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B77" i="32"/>
  <c r="AB78" i="32" s="1"/>
  <c r="AB79" i="32" s="1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S84" i="36" s="1"/>
  <c r="S85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AB8" i="33"/>
  <c r="AB9" i="33" s="1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X84" i="33" s="1"/>
  <c r="X85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S84" i="33" s="1"/>
  <c r="S85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I84" i="33" s="1"/>
  <c r="AE66" i="34"/>
  <c r="AF60" i="32"/>
  <c r="AD23" i="32"/>
  <c r="AF75" i="32"/>
  <c r="AE60" i="32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J84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T84" i="35" s="1"/>
  <c r="T85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S84" i="34" s="1"/>
  <c r="S85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R84" i="35" s="1"/>
  <c r="R85" i="35" s="1"/>
  <c r="AD35" i="32"/>
  <c r="AD44" i="32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J84" i="35" s="1"/>
  <c r="J85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Z84" i="36" s="1"/>
  <c r="Z85" i="36" s="1"/>
  <c r="AB73" i="34"/>
  <c r="AE56" i="34"/>
  <c r="AF50" i="34"/>
  <c r="AD57" i="34"/>
  <c r="AE59" i="34"/>
  <c r="AE34" i="35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I84" i="35" s="1"/>
  <c r="AD51" i="33"/>
  <c r="AF51" i="33"/>
  <c r="AF60" i="33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L84" i="35" s="1"/>
  <c r="AD69" i="35"/>
  <c r="AD5" i="34"/>
  <c r="AD6" i="34" s="1"/>
  <c r="AD7" i="34" s="1"/>
  <c r="AD8" i="34" s="1"/>
  <c r="AD9" i="34" s="1"/>
  <c r="AD10" i="34" s="1"/>
  <c r="AD11" i="34" s="1"/>
  <c r="AE5" i="34"/>
  <c r="AE6" i="34" s="1"/>
  <c r="AE7" i="34" s="1"/>
  <c r="AE8" i="34" s="1"/>
  <c r="AE9" i="34" s="1"/>
  <c r="AE10" i="34" s="1"/>
  <c r="AE11" i="34" s="1"/>
  <c r="AD12" i="34"/>
  <c r="AE12" i="34"/>
  <c r="AB38" i="35"/>
  <c r="AB39" i="35"/>
  <c r="AD57" i="33"/>
  <c r="AD30" i="33"/>
  <c r="AF60" i="34"/>
  <c r="AF38" i="34"/>
  <c r="AF14" i="34"/>
  <c r="AF32" i="35"/>
  <c r="AD78" i="33"/>
  <c r="AE42" i="33"/>
  <c r="AB23" i="33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B36" i="33" s="1"/>
  <c r="AB37" i="33" s="1"/>
  <c r="AB38" i="33" s="1"/>
  <c r="AB39" i="33" s="1"/>
  <c r="AB40" i="33" s="1"/>
  <c r="AB41" i="33" s="1"/>
  <c r="AB42" i="33" s="1"/>
  <c r="AD14" i="33"/>
  <c r="AF23" i="33"/>
  <c r="AD60" i="34"/>
  <c r="AE38" i="34"/>
  <c r="AD14" i="34"/>
  <c r="AE14" i="34"/>
  <c r="AD47" i="33"/>
  <c r="AE28" i="33"/>
  <c r="AD78" i="35"/>
  <c r="AE78" i="35"/>
  <c r="AF78" i="35"/>
  <c r="AF61" i="33"/>
  <c r="AD52" i="33"/>
  <c r="AD40" i="33"/>
  <c r="AE55" i="33"/>
  <c r="AF19" i="33"/>
  <c r="AD18" i="33"/>
  <c r="AB68" i="34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B63" i="35"/>
  <c r="AB64" i="35" s="1"/>
  <c r="AF80" i="34"/>
  <c r="AF78" i="34"/>
  <c r="AE78" i="34"/>
  <c r="AD78" i="34"/>
  <c r="AD69" i="34"/>
  <c r="AF69" i="34"/>
  <c r="AD64" i="34"/>
  <c r="AF54" i="34"/>
  <c r="AF37" i="34"/>
  <c r="AF72" i="35"/>
  <c r="AD38" i="34"/>
  <c r="AB4" i="33"/>
  <c r="AB75" i="34"/>
  <c r="AB76" i="34" s="1"/>
  <c r="AB77" i="34" s="1"/>
  <c r="AB78" i="34" s="1"/>
  <c r="AB79" i="34" s="1"/>
  <c r="AB80" i="34" s="1"/>
  <c r="AB81" i="34" s="1"/>
  <c r="AB82" i="34" s="1"/>
  <c r="AB83" i="34" s="1"/>
  <c r="AB84" i="34" s="1"/>
  <c r="AB85" i="34" s="1"/>
  <c r="AE61" i="34"/>
  <c r="AD59" i="34"/>
  <c r="AE53" i="34"/>
  <c r="AD51" i="34"/>
  <c r="AD41" i="35"/>
  <c r="AF41" i="35"/>
  <c r="AD48" i="35"/>
  <c r="AE41" i="35"/>
  <c r="AF46" i="35"/>
  <c r="AD53" i="34"/>
  <c r="AF51" i="34"/>
  <c r="AD25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AF62" i="36"/>
  <c r="AD62" i="36"/>
  <c r="AD71" i="36"/>
  <c r="AE71" i="36"/>
  <c r="AF71" i="36"/>
  <c r="AE70" i="36"/>
  <c r="AF64" i="34"/>
  <c r="AE64" i="34"/>
  <c r="AE72" i="34"/>
  <c r="AD42" i="34"/>
  <c r="AE30" i="34"/>
  <c r="AD80" i="35"/>
  <c r="AB2" i="35"/>
  <c r="AB3" i="35"/>
  <c r="AB4" i="35" s="1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M84" i="36" s="1"/>
  <c r="M85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T84" i="36" s="1"/>
  <c r="T85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K84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Z84" i="34" s="1"/>
  <c r="Z85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X84" i="35" s="1"/>
  <c r="X85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K84" i="34" s="1"/>
  <c r="K85" i="34" s="1"/>
  <c r="K86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T84" i="34" s="1"/>
  <c r="T85" i="34" s="1"/>
  <c r="AB51" i="35"/>
  <c r="AB52" i="35" s="1"/>
  <c r="AB53" i="35" s="1"/>
  <c r="AB54" i="35" s="1"/>
  <c r="AB55" i="35" s="1"/>
  <c r="AB56" i="35" s="1"/>
  <c r="AB57" i="35" s="1"/>
  <c r="AB58" i="35" s="1"/>
  <c r="AB59" i="35" s="1"/>
  <c r="AB60" i="35" s="1"/>
  <c r="AD43" i="35"/>
  <c r="AE43" i="35"/>
  <c r="AF43" i="35"/>
  <c r="AD21" i="34"/>
  <c r="AE28" i="34"/>
  <c r="AF28" i="34"/>
  <c r="AF52" i="34"/>
  <c r="AE52" i="34"/>
  <c r="AD45" i="34"/>
  <c r="AF45" i="34"/>
  <c r="AD43" i="34"/>
  <c r="AF34" i="34"/>
  <c r="AD73" i="36"/>
  <c r="AD22" i="36"/>
  <c r="AF22" i="36"/>
  <c r="AF24" i="36"/>
  <c r="AF16" i="36"/>
  <c r="AE23" i="36"/>
  <c r="AF23" i="36"/>
  <c r="AD16" i="36"/>
  <c r="AE16" i="36"/>
  <c r="AD23" i="36"/>
  <c r="AF67" i="33"/>
  <c r="AE29" i="34"/>
  <c r="AD16" i="35"/>
  <c r="AE16" i="35"/>
  <c r="AF16" i="35"/>
  <c r="AE21" i="35"/>
  <c r="AD25" i="35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V84" i="34" s="1"/>
  <c r="V85" i="34" s="1"/>
  <c r="AF82" i="35"/>
  <c r="AE75" i="35"/>
  <c r="AE37" i="35"/>
  <c r="AE44" i="35"/>
  <c r="AD37" i="35"/>
  <c r="AE45" i="35"/>
  <c r="U3" i="35"/>
  <c r="AD76" i="36"/>
  <c r="AD13" i="34"/>
  <c r="AD27" i="35"/>
  <c r="AF27" i="35"/>
  <c r="AE36" i="35"/>
  <c r="AD30" i="35"/>
  <c r="AF63" i="34"/>
  <c r="AE46" i="34"/>
  <c r="AF36" i="34"/>
  <c r="AD36" i="34"/>
  <c r="AE36" i="34"/>
  <c r="AD67" i="35"/>
  <c r="AD75" i="35"/>
  <c r="AD21" i="35"/>
  <c r="AB37" i="34"/>
  <c r="AF45" i="35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W84" i="35" s="1"/>
  <c r="W85" i="35" s="1"/>
  <c r="AF55" i="33"/>
  <c r="AB47" i="33"/>
  <c r="AB48" i="33" s="1"/>
  <c r="AB49" i="33" s="1"/>
  <c r="AB50" i="33" s="1"/>
  <c r="AB51" i="33" s="1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B84" i="33" s="1"/>
  <c r="AD70" i="34"/>
  <c r="AD34" i="34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V84" i="35" s="1"/>
  <c r="V85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K84" i="36" s="1"/>
  <c r="K85" i="36" s="1"/>
  <c r="AD49" i="34"/>
  <c r="AF49" i="34"/>
  <c r="AE57" i="34"/>
  <c r="AE40" i="34"/>
  <c r="AF40" i="34"/>
  <c r="AD15" i="34"/>
  <c r="AE15" i="34"/>
  <c r="AB4" i="34"/>
  <c r="AB5" i="34" s="1"/>
  <c r="AB6" i="34" s="1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B17" i="34" s="1"/>
  <c r="AB18" i="34" s="1"/>
  <c r="AB19" i="34" s="1"/>
  <c r="AB20" i="34" s="1"/>
  <c r="AB21" i="34" s="1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F69" i="35"/>
  <c r="AD60" i="35"/>
  <c r="AE24" i="35"/>
  <c r="AF24" i="35"/>
  <c r="AD12" i="35"/>
  <c r="AF12" i="35"/>
  <c r="AE12" i="35"/>
  <c r="AF26" i="36"/>
  <c r="AE20" i="36"/>
  <c r="AD58" i="35"/>
  <c r="AD49" i="35"/>
  <c r="AE49" i="35"/>
  <c r="AF49" i="35"/>
  <c r="AB6" i="35"/>
  <c r="AE3" i="35"/>
  <c r="AF3" i="35"/>
  <c r="AF4" i="35" s="1"/>
  <c r="AF5" i="35" s="1"/>
  <c r="AF6" i="35" s="1"/>
  <c r="AF7" i="35" s="1"/>
  <c r="AF8" i="35" s="1"/>
  <c r="AF9" i="35" s="1"/>
  <c r="AF10" i="35" s="1"/>
  <c r="AF11" i="35" s="1"/>
  <c r="AD26" i="36"/>
  <c r="AD20" i="36"/>
  <c r="AD63" i="34"/>
  <c r="AD52" i="34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Z84" i="35" s="1"/>
  <c r="Z85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B65" i="35"/>
  <c r="AB66" i="35" s="1"/>
  <c r="AB67" i="35" s="1"/>
  <c r="AB68" i="35" s="1"/>
  <c r="AB69" i="35" s="1"/>
  <c r="AB70" i="35" s="1"/>
  <c r="AB71" i="35" s="1"/>
  <c r="AE52" i="35"/>
  <c r="AF52" i="35"/>
  <c r="AF60" i="35"/>
  <c r="AB7" i="35"/>
  <c r="AB8" i="35" s="1"/>
  <c r="AB9" i="35" s="1"/>
  <c r="AB10" i="35" s="1"/>
  <c r="AB11" i="35" s="1"/>
  <c r="AB12" i="35" s="1"/>
  <c r="AB13" i="35" s="1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B27" i="35" s="1"/>
  <c r="AB28" i="35" s="1"/>
  <c r="AB29" i="35" s="1"/>
  <c r="AB30" i="35" s="1"/>
  <c r="AB31" i="35" s="1"/>
  <c r="AB32" i="35" s="1"/>
  <c r="AB33" i="35" s="1"/>
  <c r="AB34" i="35" s="1"/>
  <c r="AB35" i="35" s="1"/>
  <c r="AB36" i="35" s="1"/>
  <c r="AB37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AB72" i="35"/>
  <c r="AB73" i="35"/>
  <c r="AB74" i="35" s="1"/>
  <c r="AB75" i="35" s="1"/>
  <c r="AB76" i="35" s="1"/>
  <c r="AB77" i="35" s="1"/>
  <c r="AB78" i="35" s="1"/>
  <c r="AB79" i="35" s="1"/>
  <c r="AB80" i="35" s="1"/>
  <c r="AB81" i="35" s="1"/>
  <c r="AB82" i="35" s="1"/>
  <c r="AB83" i="35" s="1"/>
  <c r="AB84" i="35" s="1"/>
  <c r="AB85" i="35" s="1"/>
  <c r="AD50" i="35"/>
  <c r="AE50" i="35"/>
  <c r="AE38" i="35"/>
  <c r="AE32" i="35"/>
  <c r="AF48" i="36"/>
  <c r="AF56" i="36"/>
  <c r="AD55" i="36"/>
  <c r="AE55" i="36"/>
  <c r="AE57" i="36"/>
  <c r="AF57" i="36"/>
  <c r="AF54" i="36"/>
  <c r="AD50" i="36"/>
  <c r="AE50" i="36"/>
  <c r="AE48" i="36"/>
  <c r="AB29" i="36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B54" i="36"/>
  <c r="AB55" i="36" s="1"/>
  <c r="AB56" i="36" s="1"/>
  <c r="AB57" i="36" s="1"/>
  <c r="AB58" i="36" s="1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K84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AE33" i="35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O84" i="36" s="1"/>
  <c r="O85" i="36" s="1"/>
  <c r="AD49" i="36"/>
  <c r="AD24" i="36"/>
  <c r="AE15" i="36"/>
  <c r="AF15" i="36"/>
  <c r="AD80" i="36"/>
  <c r="AD57" i="36"/>
  <c r="AD52" i="36"/>
  <c r="AE66" i="35"/>
  <c r="AF66" i="35"/>
  <c r="AD20" i="35"/>
  <c r="AF20" i="35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E4" i="35"/>
  <c r="AE5" i="35" s="1"/>
  <c r="AE6" i="35" s="1"/>
  <c r="AE7" i="35" s="1"/>
  <c r="AE8" i="35" s="1"/>
  <c r="AE9" i="35" s="1"/>
  <c r="AE10" i="35" s="1"/>
  <c r="AE11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B40" i="35"/>
  <c r="AB41" i="35" s="1"/>
  <c r="AB42" i="35" s="1"/>
  <c r="AB43" i="35" s="1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P84" i="36" s="1"/>
  <c r="P85" i="36" s="1"/>
  <c r="AE2" i="35"/>
  <c r="AE46" i="36"/>
  <c r="AF46" i="36"/>
  <c r="AF34" i="36"/>
  <c r="AE25" i="36"/>
  <c r="AF25" i="36"/>
  <c r="AD21" i="36"/>
  <c r="AF69" i="36"/>
  <c r="AF14" i="36"/>
  <c r="AE17" i="36"/>
  <c r="AE56" i="36"/>
  <c r="AE49" i="36"/>
  <c r="AE42" i="36"/>
  <c r="AE35" i="36"/>
  <c r="AE28" i="36"/>
  <c r="AE21" i="36"/>
  <c r="G31" i="4" l="1"/>
  <c r="AE86" i="25" a="1"/>
  <c r="AE86" i="25" s="1"/>
  <c r="T86" i="25"/>
  <c r="W86" i="25"/>
  <c r="AB86" i="25" a="1"/>
  <c r="AB86" i="25" s="1"/>
  <c r="AA87" i="25" s="1"/>
  <c r="R9" i="4" s="1"/>
  <c r="Y86" i="25"/>
  <c r="R86" i="25"/>
  <c r="AF86" i="25" a="1"/>
  <c r="AF86" i="25" s="1"/>
  <c r="S86" i="25"/>
  <c r="P86" i="25"/>
  <c r="Q86" i="25"/>
  <c r="U86" i="25"/>
  <c r="Z86" i="25"/>
  <c r="V86" i="25"/>
  <c r="AD86" i="25" a="1"/>
  <c r="AD86" i="25" s="1"/>
  <c r="I86" i="25"/>
  <c r="C9" i="4" s="1"/>
  <c r="G9" i="4" s="1"/>
  <c r="AF86" i="14" a="1"/>
  <c r="AF86" i="14" s="1"/>
  <c r="AD86" i="14" a="1"/>
  <c r="AD86" i="14" s="1"/>
  <c r="U86" i="14"/>
  <c r="AB85" i="14"/>
  <c r="AB86" i="14" s="1" a="1"/>
  <c r="AB86" i="14" s="1"/>
  <c r="AA87" i="14" s="1"/>
  <c r="R27" i="4" s="1"/>
  <c r="I85" i="14"/>
  <c r="I86" i="14" s="1"/>
  <c r="C27" i="4" s="1"/>
  <c r="K85" i="14"/>
  <c r="K86" i="14" s="1"/>
  <c r="J85" i="14"/>
  <c r="J86" i="14" s="1"/>
  <c r="D27" i="4" s="1"/>
  <c r="AE86" i="14" a="1"/>
  <c r="AE86" i="14" s="1"/>
  <c r="L85" i="14"/>
  <c r="L86" i="14" s="1"/>
  <c r="E27" i="4" s="1"/>
  <c r="W86" i="14"/>
  <c r="V4" i="14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V84" i="14" s="1"/>
  <c r="V85" i="14" s="1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P84" i="14" s="1"/>
  <c r="P85" i="14" s="1"/>
  <c r="S4" i="14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S84" i="14" s="1"/>
  <c r="S85" i="14" s="1"/>
  <c r="T86" i="14"/>
  <c r="X86" i="14"/>
  <c r="X87" i="14" s="1"/>
  <c r="N27" i="4" s="1"/>
  <c r="J86" i="30"/>
  <c r="D30" i="4" s="1"/>
  <c r="P86" i="30"/>
  <c r="Y86" i="30"/>
  <c r="X86" i="30"/>
  <c r="AE86" i="30" a="1"/>
  <c r="AE86" i="30" s="1"/>
  <c r="O86" i="30"/>
  <c r="I4" i="30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I84" i="30" s="1"/>
  <c r="I85" i="30" s="1"/>
  <c r="U86" i="30"/>
  <c r="R86" i="30"/>
  <c r="S86" i="30"/>
  <c r="T86" i="30"/>
  <c r="AD86" i="30" a="1"/>
  <c r="AD86" i="30" s="1"/>
  <c r="V86" i="30"/>
  <c r="AF86" i="30" a="1"/>
  <c r="AF86" i="30" s="1"/>
  <c r="K86" i="30"/>
  <c r="N85" i="30"/>
  <c r="N86" i="30" s="1"/>
  <c r="J30" i="4" s="1"/>
  <c r="M86" i="30"/>
  <c r="I30" i="4" s="1"/>
  <c r="AD86" i="36" a="1"/>
  <c r="AD86" i="36" s="1"/>
  <c r="K86" i="36"/>
  <c r="I86" i="36"/>
  <c r="C32" i="4" s="1"/>
  <c r="J86" i="36"/>
  <c r="D32" i="4" s="1"/>
  <c r="P86" i="36"/>
  <c r="AB85" i="36"/>
  <c r="AB86" i="36" s="1" a="1"/>
  <c r="AB86" i="36" s="1"/>
  <c r="AA87" i="36" s="1"/>
  <c r="R32" i="4" s="1"/>
  <c r="Z86" i="36"/>
  <c r="X87" i="36" s="1"/>
  <c r="N32" i="4" s="1"/>
  <c r="AF86" i="36" a="1"/>
  <c r="AF86" i="36" s="1"/>
  <c r="T86" i="36"/>
  <c r="L86" i="36"/>
  <c r="E32" i="4" s="1"/>
  <c r="R4" i="36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R84" i="36" s="1"/>
  <c r="R85" i="36" s="1"/>
  <c r="M86" i="36"/>
  <c r="I32" i="4" s="1"/>
  <c r="S86" i="36"/>
  <c r="O86" i="36"/>
  <c r="AF86" i="35" a="1"/>
  <c r="AF86" i="35" s="1"/>
  <c r="AD86" i="35" a="1"/>
  <c r="AD86" i="35" s="1"/>
  <c r="S18" i="35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S84" i="35" s="1"/>
  <c r="S85" i="35" s="1"/>
  <c r="AB44" i="35"/>
  <c r="AB45" i="35" s="1"/>
  <c r="AB46" i="35" s="1"/>
  <c r="AB47" i="35" s="1"/>
  <c r="AB48" i="35" s="1"/>
  <c r="AB49" i="35" s="1"/>
  <c r="AB50" i="35" s="1"/>
  <c r="AB86" i="35" s="1" a="1"/>
  <c r="AB86" i="35" s="1"/>
  <c r="AA87" i="35" s="1"/>
  <c r="R21" i="4" s="1"/>
  <c r="AE86" i="35" a="1"/>
  <c r="AE86" i="35" s="1"/>
  <c r="X86" i="35"/>
  <c r="W86" i="35"/>
  <c r="T86" i="35"/>
  <c r="V86" i="35"/>
  <c r="J86" i="35"/>
  <c r="D21" i="4" s="1"/>
  <c r="Z86" i="35"/>
  <c r="U4" i="35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U84" i="35" s="1"/>
  <c r="U85" i="35" s="1"/>
  <c r="K85" i="35"/>
  <c r="K86" i="35" s="1"/>
  <c r="Y86" i="35"/>
  <c r="I85" i="35"/>
  <c r="I86" i="35" s="1"/>
  <c r="C21" i="4" s="1"/>
  <c r="L85" i="35"/>
  <c r="L86" i="35" s="1"/>
  <c r="E21" i="4" s="1"/>
  <c r="R86" i="35"/>
  <c r="AD86" i="15" a="1"/>
  <c r="AD86" i="15" s="1"/>
  <c r="AE86" i="15" a="1"/>
  <c r="AE86" i="15" s="1"/>
  <c r="J86" i="15"/>
  <c r="D6" i="4" s="1"/>
  <c r="L86" i="15"/>
  <c r="Q86" i="15"/>
  <c r="R86" i="15"/>
  <c r="AF86" i="15" a="1"/>
  <c r="AF86" i="15" s="1"/>
  <c r="N85" i="15"/>
  <c r="N86" i="15" s="1"/>
  <c r="J6" i="4" s="1"/>
  <c r="S86" i="15"/>
  <c r="T86" i="15"/>
  <c r="U86" i="15"/>
  <c r="W86" i="15"/>
  <c r="I86" i="15"/>
  <c r="C6" i="4" s="1"/>
  <c r="G6" i="4" s="1"/>
  <c r="V86" i="15"/>
  <c r="P86" i="15"/>
  <c r="O86" i="15"/>
  <c r="Z86" i="15"/>
  <c r="AB86" i="15" a="1"/>
  <c r="AB86" i="15" s="1"/>
  <c r="AA87" i="15" s="1"/>
  <c r="R6" i="4" s="1"/>
  <c r="X86" i="15"/>
  <c r="AD86" i="21" a="1"/>
  <c r="AD86" i="21" s="1"/>
  <c r="AF86" i="28" a="1"/>
  <c r="AF86" i="28" s="1"/>
  <c r="AB85" i="28"/>
  <c r="AB86" i="28" s="1" a="1"/>
  <c r="AB86" i="28" s="1"/>
  <c r="AA87" i="28" s="1"/>
  <c r="R39" i="4" s="1"/>
  <c r="O86" i="28"/>
  <c r="T5" i="28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T84" i="28" s="1"/>
  <c r="T85" i="28" s="1"/>
  <c r="AD86" i="28" a="1"/>
  <c r="AD86" i="28" s="1"/>
  <c r="U86" i="28"/>
  <c r="P86" i="28"/>
  <c r="AE86" i="28" a="1"/>
  <c r="AE86" i="28" s="1"/>
  <c r="V86" i="28"/>
  <c r="K86" i="28"/>
  <c r="S86" i="28"/>
  <c r="W86" i="28"/>
  <c r="Z86" i="28"/>
  <c r="X86" i="28"/>
  <c r="Y86" i="28"/>
  <c r="AF86" i="6" a="1"/>
  <c r="AF86" i="6" s="1"/>
  <c r="AD86" i="6" a="1"/>
  <c r="AD86" i="6" s="1"/>
  <c r="M86" i="6"/>
  <c r="I31" i="4" s="1"/>
  <c r="AB85" i="6"/>
  <c r="AB86" i="6" s="1" a="1"/>
  <c r="AB86" i="6" s="1"/>
  <c r="AA87" i="6" s="1"/>
  <c r="R31" i="4" s="1"/>
  <c r="V4" i="6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V84" i="6" s="1"/>
  <c r="V85" i="6" s="1"/>
  <c r="AE86" i="6" a="1"/>
  <c r="AE86" i="6" s="1"/>
  <c r="N85" i="6"/>
  <c r="N86" i="6" s="1"/>
  <c r="J31" i="4" s="1"/>
  <c r="X86" i="6"/>
  <c r="X87" i="6" s="1"/>
  <c r="N31" i="4" s="1"/>
  <c r="W86" i="6"/>
  <c r="AD86" i="9" a="1"/>
  <c r="AD86" i="9" s="1"/>
  <c r="AB86" i="9" a="1"/>
  <c r="AB86" i="9" s="1"/>
  <c r="AA87" i="9" s="1"/>
  <c r="R36" i="4" s="1"/>
  <c r="V86" i="9"/>
  <c r="U86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W84" i="9" s="1"/>
  <c r="W85" i="9" s="1"/>
  <c r="AE86" i="9" a="1"/>
  <c r="AE86" i="9" s="1"/>
  <c r="Y86" i="9"/>
  <c r="P86" i="9"/>
  <c r="I85" i="9"/>
  <c r="I86" i="9" s="1"/>
  <c r="C36" i="4" s="1"/>
  <c r="O5" i="9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O84" i="9" s="1"/>
  <c r="O85" i="9" s="1"/>
  <c r="M86" i="9"/>
  <c r="I36" i="4" s="1"/>
  <c r="R86" i="9"/>
  <c r="R87" i="9" s="1"/>
  <c r="L36" i="4" s="1"/>
  <c r="Q86" i="9"/>
  <c r="AF86" i="9" a="1"/>
  <c r="AF86" i="9" s="1"/>
  <c r="X86" i="9"/>
  <c r="Z86" i="9"/>
  <c r="AE86" i="29" a="1"/>
  <c r="AE86" i="29" s="1"/>
  <c r="AB85" i="29"/>
  <c r="R86" i="29"/>
  <c r="S86" i="29"/>
  <c r="L85" i="29"/>
  <c r="L86" i="29" s="1"/>
  <c r="E40" i="4" s="1"/>
  <c r="AF86" i="29" a="1"/>
  <c r="AF86" i="29" s="1"/>
  <c r="Z86" i="29"/>
  <c r="X86" i="29"/>
  <c r="Y86" i="29"/>
  <c r="W86" i="29"/>
  <c r="U87" i="29" s="1"/>
  <c r="M40" i="4" s="1"/>
  <c r="I85" i="29"/>
  <c r="I86" i="29" s="1"/>
  <c r="C40" i="4" s="1"/>
  <c r="M9" i="29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M84" i="29" s="1"/>
  <c r="M85" i="29" s="1"/>
  <c r="N86" i="29"/>
  <c r="J40" i="4" s="1"/>
  <c r="AD86" i="29" a="1"/>
  <c r="AD86" i="29" s="1"/>
  <c r="K86" i="29"/>
  <c r="Q11" i="29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Q84" i="29" s="1"/>
  <c r="Q85" i="29" s="1"/>
  <c r="AE86" i="21" a="1"/>
  <c r="AE86" i="21" s="1"/>
  <c r="AB44" i="21"/>
  <c r="AB45" i="21" s="1"/>
  <c r="AB46" i="21" s="1"/>
  <c r="AB47" i="21" s="1"/>
  <c r="AB48" i="21" s="1"/>
  <c r="AB49" i="21" s="1"/>
  <c r="AB50" i="21" s="1"/>
  <c r="R86" i="21"/>
  <c r="T4" i="2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T84" i="21" s="1"/>
  <c r="T85" i="21" s="1"/>
  <c r="S4" i="2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S84" i="21" s="1"/>
  <c r="S85" i="21" s="1"/>
  <c r="M85" i="21"/>
  <c r="M86" i="21" s="1"/>
  <c r="I29" i="4" s="1"/>
  <c r="H29" i="4" s="1"/>
  <c r="G29" i="4"/>
  <c r="J85" i="21"/>
  <c r="J86" i="21" s="1"/>
  <c r="D29" i="4" s="1"/>
  <c r="Z86" i="21"/>
  <c r="AF86" i="21" a="1"/>
  <c r="AF86" i="21" s="1"/>
  <c r="P86" i="21"/>
  <c r="Y86" i="21"/>
  <c r="N85" i="21"/>
  <c r="N86" i="21" s="1"/>
  <c r="J29" i="4" s="1"/>
  <c r="O86" i="21"/>
  <c r="U86" i="21"/>
  <c r="V86" i="21"/>
  <c r="W86" i="21"/>
  <c r="AF86" i="19" a="1"/>
  <c r="AF86" i="19" s="1"/>
  <c r="AD86" i="19" a="1"/>
  <c r="AD86" i="19" s="1"/>
  <c r="U87" i="19"/>
  <c r="M28" i="4" s="1"/>
  <c r="R86" i="19"/>
  <c r="AB85" i="19"/>
  <c r="P8" i="19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P84" i="19" s="1"/>
  <c r="P85" i="19" s="1"/>
  <c r="L85" i="19"/>
  <c r="L86" i="19" s="1"/>
  <c r="E28" i="4" s="1"/>
  <c r="F28" i="4" s="1"/>
  <c r="N86" i="19"/>
  <c r="J28" i="4" s="1"/>
  <c r="Z9" i="19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Z84" i="19" s="1"/>
  <c r="Z85" i="19" s="1"/>
  <c r="O86" i="19"/>
  <c r="T86" i="19"/>
  <c r="AE86" i="19" a="1"/>
  <c r="AE86" i="19" s="1"/>
  <c r="X86" i="19"/>
  <c r="Y86" i="19"/>
  <c r="Q86" i="19"/>
  <c r="M86" i="19"/>
  <c r="I28" i="4" s="1"/>
  <c r="K85" i="19"/>
  <c r="K86" i="19" s="1"/>
  <c r="G28" i="4" s="1"/>
  <c r="AD86" i="31" a="1"/>
  <c r="AD86" i="31" s="1"/>
  <c r="M86" i="31"/>
  <c r="I10" i="4" s="1"/>
  <c r="R86" i="31"/>
  <c r="AB85" i="31"/>
  <c r="AB86" i="31" s="1" a="1"/>
  <c r="AB86" i="31" s="1"/>
  <c r="AA87" i="31" s="1"/>
  <c r="R10" i="4" s="1"/>
  <c r="U86" i="31"/>
  <c r="X86" i="31"/>
  <c r="I85" i="31"/>
  <c r="I86" i="31" s="1"/>
  <c r="C10" i="4" s="1"/>
  <c r="N85" i="31"/>
  <c r="N86" i="31" s="1"/>
  <c r="J10" i="4" s="1"/>
  <c r="O86" i="31"/>
  <c r="Z86" i="31"/>
  <c r="V86" i="31"/>
  <c r="J85" i="31"/>
  <c r="J86" i="31" s="1"/>
  <c r="D10" i="4" s="1"/>
  <c r="AE86" i="31" a="1"/>
  <c r="AE86" i="31" s="1"/>
  <c r="W86" i="31"/>
  <c r="Y86" i="31"/>
  <c r="AF86" i="31" a="1"/>
  <c r="AF86" i="31" s="1"/>
  <c r="P86" i="31"/>
  <c r="S86" i="31"/>
  <c r="K85" i="31"/>
  <c r="K86" i="31" s="1"/>
  <c r="AD86" i="22" a="1"/>
  <c r="AD86" i="22" s="1"/>
  <c r="N86" i="22"/>
  <c r="J16" i="4" s="1"/>
  <c r="AE86" i="22" a="1"/>
  <c r="AE86" i="22" s="1"/>
  <c r="I4" i="22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I84" i="22" s="1"/>
  <c r="I85" i="22" s="1"/>
  <c r="V86" i="22"/>
  <c r="L86" i="22"/>
  <c r="E16" i="4" s="1"/>
  <c r="M86" i="22"/>
  <c r="I16" i="4" s="1"/>
  <c r="P86" i="22"/>
  <c r="AF86" i="22" a="1"/>
  <c r="AF86" i="22" s="1"/>
  <c r="T86" i="22"/>
  <c r="O86" i="22"/>
  <c r="Q86" i="22"/>
  <c r="R86" i="22"/>
  <c r="AB86" i="22" a="1"/>
  <c r="AB86" i="22" s="1"/>
  <c r="AA87" i="22" s="1"/>
  <c r="R16" i="4" s="1"/>
  <c r="W86" i="22"/>
  <c r="S86" i="22"/>
  <c r="J86" i="22"/>
  <c r="D16" i="4" s="1"/>
  <c r="X86" i="22"/>
  <c r="X87" i="22" s="1"/>
  <c r="N16" i="4" s="1"/>
  <c r="K86" i="22"/>
  <c r="AF86" i="13" a="1"/>
  <c r="AF86" i="13" s="1"/>
  <c r="AB86" i="13" a="1"/>
  <c r="AB86" i="13" s="1"/>
  <c r="AA87" i="13" s="1"/>
  <c r="R15" i="4" s="1"/>
  <c r="AD86" i="13" a="1"/>
  <c r="AD86" i="13" s="1"/>
  <c r="AE86" i="13" a="1"/>
  <c r="AE86" i="13" s="1"/>
  <c r="R86" i="13"/>
  <c r="L85" i="13"/>
  <c r="L86" i="13" s="1"/>
  <c r="E15" i="4" s="1"/>
  <c r="T4" i="13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T84" i="13" s="1"/>
  <c r="T85" i="13" s="1"/>
  <c r="S86" i="13"/>
  <c r="P4" i="13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P84" i="13" s="1"/>
  <c r="P85" i="13" s="1"/>
  <c r="M86" i="13"/>
  <c r="I15" i="4" s="1"/>
  <c r="Z86" i="13"/>
  <c r="V86" i="13"/>
  <c r="Q4" i="13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Q84" i="13" s="1"/>
  <c r="Q85" i="13" s="1"/>
  <c r="Y86" i="13"/>
  <c r="X86" i="13"/>
  <c r="W4" i="13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W84" i="13" s="1"/>
  <c r="W85" i="13" s="1"/>
  <c r="O86" i="13"/>
  <c r="U86" i="13"/>
  <c r="AD86" i="8" a="1"/>
  <c r="AD86" i="8" s="1"/>
  <c r="AE86" i="8" a="1"/>
  <c r="AE86" i="8" s="1"/>
  <c r="P86" i="8"/>
  <c r="T86" i="8"/>
  <c r="R87" i="8" s="1"/>
  <c r="L5" i="4" s="1"/>
  <c r="AB85" i="8"/>
  <c r="AB86" i="8" s="1" a="1"/>
  <c r="AB86" i="8" s="1"/>
  <c r="AA87" i="8" s="1"/>
  <c r="R5" i="4" s="1"/>
  <c r="Z4" i="8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Z84" i="8" s="1"/>
  <c r="Z85" i="8" s="1"/>
  <c r="O86" i="8"/>
  <c r="L85" i="8"/>
  <c r="L86" i="8" s="1"/>
  <c r="E5" i="4" s="1"/>
  <c r="F5" i="4" s="1"/>
  <c r="Y86" i="8"/>
  <c r="W86" i="8"/>
  <c r="U4" i="8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U84" i="8" s="1"/>
  <c r="U85" i="8" s="1"/>
  <c r="K86" i="8"/>
  <c r="G5" i="4" s="1"/>
  <c r="Q86" i="8"/>
  <c r="AF86" i="8" a="1"/>
  <c r="AF86" i="8" s="1"/>
  <c r="V86" i="8"/>
  <c r="AF86" i="12" a="1"/>
  <c r="AF86" i="12" s="1"/>
  <c r="AD86" i="12" a="1"/>
  <c r="AD86" i="12" s="1"/>
  <c r="P86" i="12"/>
  <c r="R86" i="12"/>
  <c r="I86" i="12"/>
  <c r="U87" i="12"/>
  <c r="M26" i="4" s="1"/>
  <c r="T86" i="12"/>
  <c r="AB44" i="12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B84" i="12" s="1"/>
  <c r="AB85" i="12" s="1"/>
  <c r="Q86" i="12"/>
  <c r="AE86" i="12" a="1"/>
  <c r="AE86" i="12" s="1"/>
  <c r="S86" i="12"/>
  <c r="Z86" i="12"/>
  <c r="J86" i="12"/>
  <c r="D26" i="4" s="1"/>
  <c r="Y86" i="12"/>
  <c r="K86" i="12"/>
  <c r="L86" i="12"/>
  <c r="E26" i="4" s="1"/>
  <c r="AF86" i="18" a="1"/>
  <c r="AF86" i="18" s="1"/>
  <c r="AD86" i="18" a="1"/>
  <c r="AD86" i="18" s="1"/>
  <c r="AB85" i="18"/>
  <c r="AB86" i="18" s="1" a="1"/>
  <c r="AB86" i="18" s="1"/>
  <c r="AA87" i="18" s="1"/>
  <c r="R38" i="4" s="1"/>
  <c r="V4" i="18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V84" i="18" s="1"/>
  <c r="V85" i="18" s="1"/>
  <c r="O86" i="18"/>
  <c r="P86" i="18"/>
  <c r="R86" i="18"/>
  <c r="T86" i="18"/>
  <c r="M85" i="18"/>
  <c r="M86" i="18" s="1"/>
  <c r="I38" i="4" s="1"/>
  <c r="G38" i="4"/>
  <c r="S86" i="18"/>
  <c r="W86" i="18"/>
  <c r="AE86" i="18" a="1"/>
  <c r="AE86" i="18" s="1"/>
  <c r="X86" i="18"/>
  <c r="Y86" i="18"/>
  <c r="AF86" i="23" a="1"/>
  <c r="AF86" i="23" s="1"/>
  <c r="AD86" i="23" a="1"/>
  <c r="AD86" i="23" s="1"/>
  <c r="AB85" i="23"/>
  <c r="AB86" i="23" s="1" a="1"/>
  <c r="AB86" i="23" s="1"/>
  <c r="AA87" i="23" s="1"/>
  <c r="R17" i="4" s="1"/>
  <c r="O86" i="23"/>
  <c r="G17" i="4"/>
  <c r="Q86" i="23"/>
  <c r="AE86" i="23" a="1"/>
  <c r="AE86" i="23" s="1"/>
  <c r="M85" i="23"/>
  <c r="M86" i="23" s="1"/>
  <c r="I17" i="4" s="1"/>
  <c r="H17" i="4" s="1"/>
  <c r="W7" i="23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W84" i="23" s="1"/>
  <c r="W85" i="23" s="1"/>
  <c r="X4" i="23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X84" i="23" s="1"/>
  <c r="X85" i="23" s="1"/>
  <c r="L85" i="23"/>
  <c r="L86" i="23" s="1"/>
  <c r="E17" i="4" s="1"/>
  <c r="F17" i="4" s="1"/>
  <c r="T86" i="23"/>
  <c r="Y86" i="23"/>
  <c r="S86" i="23"/>
  <c r="AF86" i="26" a="1"/>
  <c r="AF86" i="26" s="1"/>
  <c r="AD86" i="26" a="1"/>
  <c r="AD86" i="26" s="1"/>
  <c r="G19" i="4"/>
  <c r="AB85" i="26"/>
  <c r="AE86" i="26" a="1"/>
  <c r="AE86" i="26" s="1"/>
  <c r="T86" i="26"/>
  <c r="W86" i="26"/>
  <c r="S86" i="26"/>
  <c r="U86" i="26"/>
  <c r="R86" i="26"/>
  <c r="V86" i="26"/>
  <c r="Q86" i="26"/>
  <c r="X86" i="26"/>
  <c r="X87" i="26" s="1"/>
  <c r="N19" i="4" s="1"/>
  <c r="P86" i="26"/>
  <c r="L85" i="26"/>
  <c r="L86" i="26" s="1"/>
  <c r="E19" i="4" s="1"/>
  <c r="F19" i="4" s="1"/>
  <c r="N86" i="26"/>
  <c r="J19" i="4" s="1"/>
  <c r="K86" i="27"/>
  <c r="G20" i="4" s="1"/>
  <c r="V86" i="27"/>
  <c r="W86" i="27"/>
  <c r="AB44" i="27"/>
  <c r="AB45" i="27" s="1"/>
  <c r="AB46" i="27" s="1"/>
  <c r="X86" i="27"/>
  <c r="T86" i="27"/>
  <c r="AE86" i="27" a="1"/>
  <c r="AE86" i="27" s="1"/>
  <c r="P86" i="27"/>
  <c r="O86" i="27"/>
  <c r="J86" i="27"/>
  <c r="D20" i="4" s="1"/>
  <c r="AD86" i="27" a="1"/>
  <c r="AD86" i="27" s="1"/>
  <c r="L86" i="27"/>
  <c r="E20" i="4" s="1"/>
  <c r="F20" i="4" s="1"/>
  <c r="R4" i="27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R84" i="27" s="1"/>
  <c r="R85" i="27" s="1"/>
  <c r="AF86" i="27" a="1"/>
  <c r="AF86" i="27" s="1"/>
  <c r="U86" i="27"/>
  <c r="U87" i="27" s="1"/>
  <c r="M20" i="4" s="1"/>
  <c r="Z86" i="27"/>
  <c r="AF86" i="34" a="1"/>
  <c r="AF86" i="34" s="1"/>
  <c r="P86" i="34"/>
  <c r="S86" i="34"/>
  <c r="AB86" i="34" a="1"/>
  <c r="AB86" i="34" s="1"/>
  <c r="AA87" i="34" s="1"/>
  <c r="R42" i="4" s="1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X84" i="34" s="1"/>
  <c r="X85" i="34" s="1"/>
  <c r="AD86" i="34" a="1"/>
  <c r="AD86" i="34" s="1"/>
  <c r="Q86" i="34"/>
  <c r="Z86" i="34"/>
  <c r="AE86" i="34" a="1"/>
  <c r="AE86" i="34" s="1"/>
  <c r="V86" i="34"/>
  <c r="U86" i="34"/>
  <c r="J86" i="34"/>
  <c r="D42" i="4" s="1"/>
  <c r="G42" i="4"/>
  <c r="Y86" i="34"/>
  <c r="T86" i="34"/>
  <c r="AE86" i="11" a="1"/>
  <c r="AE86" i="11" s="1"/>
  <c r="AD86" i="11" a="1"/>
  <c r="AD86" i="11" s="1"/>
  <c r="P86" i="11"/>
  <c r="T86" i="11"/>
  <c r="Z86" i="11"/>
  <c r="X87" i="11" s="1"/>
  <c r="N25" i="4" s="1"/>
  <c r="AB85" i="11"/>
  <c r="AB86" i="11" s="1" a="1"/>
  <c r="AB86" i="11" s="1"/>
  <c r="AA87" i="11" s="1"/>
  <c r="R25" i="4" s="1"/>
  <c r="J85" i="11"/>
  <c r="J86" i="11" s="1"/>
  <c r="D25" i="4" s="1"/>
  <c r="R86" i="11"/>
  <c r="U86" i="11"/>
  <c r="U87" i="11" s="1"/>
  <c r="M25" i="4" s="1"/>
  <c r="S86" i="11"/>
  <c r="I85" i="11"/>
  <c r="I86" i="11" s="1"/>
  <c r="C25" i="4" s="1"/>
  <c r="G25" i="4" s="1"/>
  <c r="M4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M84" i="11" s="1"/>
  <c r="M85" i="11" s="1"/>
  <c r="Q86" i="11"/>
  <c r="AF86" i="11" a="1"/>
  <c r="AF86" i="11" s="1"/>
  <c r="O86" i="11"/>
  <c r="AF86" i="16" a="1"/>
  <c r="AF86" i="16" s="1"/>
  <c r="AE86" i="16" a="1"/>
  <c r="AE86" i="16" s="1"/>
  <c r="Q86" i="16"/>
  <c r="T86" i="16"/>
  <c r="AB85" i="16"/>
  <c r="Y4" i="16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Y84" i="16" s="1"/>
  <c r="Y85" i="16" s="1"/>
  <c r="R86" i="16"/>
  <c r="Z4" i="16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Z84" i="16" s="1"/>
  <c r="Z85" i="16" s="1"/>
  <c r="S86" i="16"/>
  <c r="N85" i="16"/>
  <c r="N86" i="16" s="1"/>
  <c r="J37" i="4" s="1"/>
  <c r="AD86" i="16" a="1"/>
  <c r="AD86" i="16" s="1"/>
  <c r="V8" i="16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V84" i="16" s="1"/>
  <c r="V85" i="16" s="1"/>
  <c r="L85" i="16"/>
  <c r="L86" i="16" s="1"/>
  <c r="E37" i="4" s="1"/>
  <c r="I85" i="16"/>
  <c r="I86" i="16" s="1"/>
  <c r="C37" i="4" s="1"/>
  <c r="U14" i="16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U84" i="16" s="1"/>
  <c r="U85" i="16" s="1"/>
  <c r="X86" i="16"/>
  <c r="J86" i="16"/>
  <c r="D37" i="4" s="1"/>
  <c r="K85" i="16"/>
  <c r="K86" i="16" s="1"/>
  <c r="P86" i="16"/>
  <c r="AD86" i="33" a="1"/>
  <c r="AD86" i="33" s="1"/>
  <c r="AF86" i="33" a="1"/>
  <c r="AF86" i="33" s="1"/>
  <c r="Q86" i="33"/>
  <c r="Y86" i="33"/>
  <c r="AB85" i="33"/>
  <c r="N4" i="33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N84" i="33" s="1"/>
  <c r="N85" i="33" s="1"/>
  <c r="N86" i="33" s="1"/>
  <c r="J41" i="4" s="1"/>
  <c r="L85" i="33"/>
  <c r="L86" i="33" s="1"/>
  <c r="E41" i="4" s="1"/>
  <c r="I85" i="33"/>
  <c r="I86" i="33" s="1"/>
  <c r="C41" i="4" s="1"/>
  <c r="V86" i="33"/>
  <c r="Z4" i="33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Z84" i="33" s="1"/>
  <c r="Z85" i="33" s="1"/>
  <c r="AE86" i="33" a="1"/>
  <c r="AE86" i="33" s="1"/>
  <c r="J85" i="33"/>
  <c r="J86" i="33" s="1"/>
  <c r="D41" i="4" s="1"/>
  <c r="X86" i="33"/>
  <c r="K85" i="33"/>
  <c r="K86" i="33" s="1"/>
  <c r="T6" i="33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T84" i="33" s="1"/>
  <c r="T85" i="33" s="1"/>
  <c r="W86" i="33"/>
  <c r="S86" i="33"/>
  <c r="P86" i="33"/>
  <c r="R86" i="33"/>
  <c r="AB85" i="7"/>
  <c r="AB86" i="7" s="1" a="1"/>
  <c r="AB86" i="7" s="1"/>
  <c r="AA87" i="7" s="1"/>
  <c r="R4" i="4" s="1"/>
  <c r="AF86" i="7" a="1"/>
  <c r="AF86" i="7" s="1"/>
  <c r="J86" i="7"/>
  <c r="D4" i="4" s="1"/>
  <c r="AD86" i="7" a="1"/>
  <c r="AD86" i="7" s="1"/>
  <c r="U86" i="7"/>
  <c r="U87" i="7" s="1"/>
  <c r="M4" i="4" s="1"/>
  <c r="Z86" i="7"/>
  <c r="S86" i="7"/>
  <c r="AE86" i="7" a="1"/>
  <c r="AE86" i="7" s="1"/>
  <c r="T86" i="7"/>
  <c r="Q86" i="7"/>
  <c r="O87" i="7" s="1"/>
  <c r="K4" i="4" s="1"/>
  <c r="R86" i="7"/>
  <c r="Y86" i="7"/>
  <c r="X87" i="7" s="1"/>
  <c r="N4" i="4" s="1"/>
  <c r="I86" i="7"/>
  <c r="C4" i="4" s="1"/>
  <c r="G4" i="4" s="1"/>
  <c r="AD86" i="24" a="1"/>
  <c r="AD86" i="24" s="1"/>
  <c r="R86" i="24"/>
  <c r="AB44" i="24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I86" i="24"/>
  <c r="AF86" i="24" a="1"/>
  <c r="AF86" i="24" s="1"/>
  <c r="AE86" i="24" a="1"/>
  <c r="AE86" i="24" s="1"/>
  <c r="O86" i="24"/>
  <c r="S4" i="24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S84" i="24" s="1"/>
  <c r="S85" i="24" s="1"/>
  <c r="W86" i="24"/>
  <c r="U87" i="24" s="1"/>
  <c r="M18" i="4" s="1"/>
  <c r="J85" i="24"/>
  <c r="J86" i="24" s="1"/>
  <c r="D18" i="4" s="1"/>
  <c r="P86" i="24"/>
  <c r="N5" i="24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N84" i="24" s="1"/>
  <c r="N85" i="24" s="1"/>
  <c r="M86" i="24"/>
  <c r="I18" i="4" s="1"/>
  <c r="X86" i="24"/>
  <c r="X87" i="24" s="1"/>
  <c r="N18" i="4" s="1"/>
  <c r="Q86" i="24"/>
  <c r="AE86" i="32" a="1"/>
  <c r="AE86" i="32" s="1"/>
  <c r="W86" i="32"/>
  <c r="O86" i="32"/>
  <c r="Y86" i="32"/>
  <c r="X87" i="32" s="1"/>
  <c r="N11" i="4" s="1"/>
  <c r="I86" i="32"/>
  <c r="C11" i="4" s="1"/>
  <c r="AD86" i="32" a="1"/>
  <c r="AD86" i="32" s="1"/>
  <c r="V86" i="32"/>
  <c r="J86" i="32"/>
  <c r="D11" i="4" s="1"/>
  <c r="K86" i="32"/>
  <c r="L86" i="32"/>
  <c r="E11" i="4" s="1"/>
  <c r="M86" i="32"/>
  <c r="I11" i="4" s="1"/>
  <c r="T4" i="32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T84" i="32" s="1"/>
  <c r="T85" i="32" s="1"/>
  <c r="P86" i="32"/>
  <c r="U86" i="32"/>
  <c r="S86" i="32"/>
  <c r="AB86" i="20" a="1"/>
  <c r="AB86" i="20" s="1"/>
  <c r="AA87" i="20" s="1"/>
  <c r="R8" i="4" s="1"/>
  <c r="X86" i="20"/>
  <c r="J5" i="20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J84" i="20" s="1"/>
  <c r="J85" i="20" s="1"/>
  <c r="V86" i="20"/>
  <c r="P86" i="20"/>
  <c r="AF86" i="20" a="1"/>
  <c r="AF86" i="20" s="1"/>
  <c r="Q86" i="20"/>
  <c r="W86" i="20"/>
  <c r="AD86" i="20" a="1"/>
  <c r="AD86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Y84" i="20" s="1"/>
  <c r="Y85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L84" i="20" s="1"/>
  <c r="L85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O84" i="20" s="1"/>
  <c r="O85" i="20" s="1"/>
  <c r="I86" i="20"/>
  <c r="C8" i="4" s="1"/>
  <c r="G8" i="4" s="1"/>
  <c r="R86" i="20"/>
  <c r="AE86" i="20" a="1"/>
  <c r="AE86" i="20" s="1"/>
  <c r="S86" i="20"/>
  <c r="N86" i="20"/>
  <c r="J8" i="4" s="1"/>
  <c r="AD86" i="10" a="1"/>
  <c r="AD86" i="10" s="1"/>
  <c r="M86" i="10"/>
  <c r="I14" i="4" s="1"/>
  <c r="P86" i="10"/>
  <c r="R86" i="10"/>
  <c r="K4" i="10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K84" i="10" s="1"/>
  <c r="K85" i="10" s="1"/>
  <c r="W86" i="10"/>
  <c r="N85" i="10"/>
  <c r="N86" i="10" s="1"/>
  <c r="J14" i="4" s="1"/>
  <c r="U86" i="10"/>
  <c r="AE86" i="10" a="1"/>
  <c r="AE86" i="10" s="1"/>
  <c r="Y86" i="10"/>
  <c r="X86" i="10"/>
  <c r="T86" i="10"/>
  <c r="R87" i="10" s="1"/>
  <c r="L14" i="4" s="1"/>
  <c r="AF86" i="10" a="1"/>
  <c r="AF86" i="10" s="1"/>
  <c r="O86" i="10"/>
  <c r="AB85" i="17"/>
  <c r="AB86" i="17" s="1" a="1"/>
  <c r="AB86" i="17" s="1"/>
  <c r="AA87" i="17" s="1"/>
  <c r="R7" i="4" s="1"/>
  <c r="M4" i="17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M84" i="17" s="1"/>
  <c r="M85" i="17" s="1"/>
  <c r="AE86" i="17" a="1"/>
  <c r="AE86" i="17" s="1"/>
  <c r="Z86" i="17"/>
  <c r="X87" i="17" s="1"/>
  <c r="N7" i="4" s="1"/>
  <c r="AD86" i="17" a="1"/>
  <c r="AD86" i="17" s="1"/>
  <c r="W86" i="17"/>
  <c r="V86" i="17"/>
  <c r="T86" i="17"/>
  <c r="AF86" i="17" a="1"/>
  <c r="AF86" i="17" s="1"/>
  <c r="J86" i="17"/>
  <c r="D7" i="4" s="1"/>
  <c r="O4" i="17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O84" i="17" s="1"/>
  <c r="O85" i="17" s="1"/>
  <c r="I86" i="17"/>
  <c r="C7" i="4" s="1"/>
  <c r="N86" i="17"/>
  <c r="J7" i="4" s="1"/>
  <c r="R86" i="17"/>
  <c r="K86" i="17"/>
  <c r="S86" i="17"/>
  <c r="P86" i="17"/>
  <c r="T86" i="5"/>
  <c r="AF86" i="5" a="1"/>
  <c r="AF86" i="5" s="1"/>
  <c r="R86" i="5"/>
  <c r="AB85" i="5"/>
  <c r="AB86" i="5" s="1" a="1"/>
  <c r="AB86" i="5" s="1"/>
  <c r="AA87" i="5" s="1"/>
  <c r="R35" i="4" s="1"/>
  <c r="AE86" i="5" a="1"/>
  <c r="AE86" i="5" s="1"/>
  <c r="K85" i="5"/>
  <c r="K86" i="5" s="1"/>
  <c r="G35" i="4" s="1"/>
  <c r="S5" i="5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S84" i="5" s="1"/>
  <c r="S85" i="5" s="1"/>
  <c r="O86" i="5"/>
  <c r="AD86" i="5" a="1"/>
  <c r="AD86" i="5" s="1"/>
  <c r="L86" i="5"/>
  <c r="E35" i="4" s="1"/>
  <c r="F35" i="4" s="1"/>
  <c r="P86" i="5"/>
  <c r="Z5" i="5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Z84" i="5" s="1"/>
  <c r="Z85" i="5" s="1"/>
  <c r="N85" i="5"/>
  <c r="N86" i="5" s="1"/>
  <c r="J35" i="4" s="1"/>
  <c r="AF86" i="32" a="1"/>
  <c r="AF86" i="32" s="1"/>
  <c r="AE86" i="36" a="1"/>
  <c r="AE86" i="36" s="1"/>
  <c r="F31" i="4"/>
  <c r="E9" i="4"/>
  <c r="I42" i="4"/>
  <c r="H42" i="4" s="1"/>
  <c r="E30" i="4"/>
  <c r="C15" i="4"/>
  <c r="C26" i="4"/>
  <c r="J4" i="4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64" i="32" s="1"/>
  <c r="AB65" i="32" s="1"/>
  <c r="AB66" i="32" s="1"/>
  <c r="AB67" i="32" s="1"/>
  <c r="AB68" i="32" s="1"/>
  <c r="AB69" i="32" s="1"/>
  <c r="AB70" i="32" s="1"/>
  <c r="AB71" i="32" s="1"/>
  <c r="AB72" i="32" s="1"/>
  <c r="AB73" i="32" s="1"/>
  <c r="AB74" i="32" s="1"/>
  <c r="AB64" i="27"/>
  <c r="AB65" i="27" s="1"/>
  <c r="AB66" i="27" s="1"/>
  <c r="AB67" i="27" s="1"/>
  <c r="AB43" i="29"/>
  <c r="AB44" i="29" s="1"/>
  <c r="AB45" i="29" s="1"/>
  <c r="AB46" i="29" s="1"/>
  <c r="AB47" i="29" s="1"/>
  <c r="AB48" i="29" s="1"/>
  <c r="AB49" i="29" s="1"/>
  <c r="AB50" i="29" s="1"/>
  <c r="AB43" i="16"/>
  <c r="AB44" i="16" s="1"/>
  <c r="AB45" i="16" s="1"/>
  <c r="AB46" i="16" s="1"/>
  <c r="AB47" i="16" s="1"/>
  <c r="C39" i="4"/>
  <c r="H20" i="4"/>
  <c r="H35" i="4"/>
  <c r="I9" i="4"/>
  <c r="D9" i="4"/>
  <c r="U87" i="5"/>
  <c r="M35" i="4" s="1"/>
  <c r="O87" i="6"/>
  <c r="K31" i="4" s="1"/>
  <c r="AB43" i="26"/>
  <c r="AB44" i="26" s="1"/>
  <c r="AB45" i="26" s="1"/>
  <c r="AB46" i="26" s="1"/>
  <c r="AB47" i="26" s="1"/>
  <c r="AB48" i="26" s="1"/>
  <c r="AB49" i="26" s="1"/>
  <c r="AB50" i="26" s="1"/>
  <c r="AB51" i="26" s="1"/>
  <c r="R87" i="6"/>
  <c r="L31" i="4" s="1"/>
  <c r="U87" i="36"/>
  <c r="M32" i="4" s="1"/>
  <c r="D39" i="4"/>
  <c r="AB43" i="19"/>
  <c r="AB44" i="19" s="1"/>
  <c r="AB45" i="19" s="1"/>
  <c r="AB46" i="19" s="1"/>
  <c r="AB47" i="19" s="1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O87" i="35"/>
  <c r="K21" i="4" s="1"/>
  <c r="AB43" i="33"/>
  <c r="AB44" i="33" s="1"/>
  <c r="AB45" i="33" s="1"/>
  <c r="F38" i="4"/>
  <c r="I5" i="4"/>
  <c r="C18" i="4"/>
  <c r="G18" i="4" s="1"/>
  <c r="E6" i="4"/>
  <c r="F14" i="4"/>
  <c r="AB43" i="10"/>
  <c r="E29" i="4"/>
  <c r="F29" i="4" s="1"/>
  <c r="F42" i="4"/>
  <c r="AB64" i="30"/>
  <c r="AB65" i="30" s="1"/>
  <c r="AB66" i="30" s="1"/>
  <c r="AB67" i="30" s="1"/>
  <c r="AB68" i="30" s="1"/>
  <c r="AB69" i="30" s="1"/>
  <c r="AB70" i="30" s="1"/>
  <c r="AB71" i="30" s="1"/>
  <c r="AB72" i="30" s="1"/>
  <c r="AB73" i="30" s="1"/>
  <c r="AB74" i="30" s="1"/>
  <c r="AB75" i="30" s="1"/>
  <c r="AB76" i="30" s="1"/>
  <c r="H19" i="4"/>
  <c r="I8" i="4"/>
  <c r="R87" i="12" l="1"/>
  <c r="L26" i="4" s="1"/>
  <c r="R87" i="20"/>
  <c r="L8" i="4" s="1"/>
  <c r="O87" i="25"/>
  <c r="K9" i="4" s="1"/>
  <c r="G39" i="4"/>
  <c r="R87" i="34"/>
  <c r="L42" i="4" s="1"/>
  <c r="O87" i="34"/>
  <c r="K42" i="4" s="1"/>
  <c r="O87" i="36"/>
  <c r="K32" i="4" s="1"/>
  <c r="AD87" i="14"/>
  <c r="S27" i="4" s="1"/>
  <c r="X87" i="25"/>
  <c r="N9" i="4" s="1"/>
  <c r="R87" i="25"/>
  <c r="L9" i="4" s="1"/>
  <c r="U87" i="25"/>
  <c r="M9" i="4" s="1"/>
  <c r="G27" i="4"/>
  <c r="V86" i="14"/>
  <c r="U87" i="14" s="1"/>
  <c r="M27" i="4" s="1"/>
  <c r="P86" i="14"/>
  <c r="O87" i="14" s="1"/>
  <c r="K27" i="4" s="1"/>
  <c r="S86" i="14"/>
  <c r="R87" i="14" s="1"/>
  <c r="L27" i="4" s="1"/>
  <c r="U87" i="30"/>
  <c r="M30" i="4" s="1"/>
  <c r="AD87" i="30"/>
  <c r="S30" i="4" s="1"/>
  <c r="O87" i="30"/>
  <c r="K30" i="4" s="1"/>
  <c r="R87" i="30"/>
  <c r="L30" i="4" s="1"/>
  <c r="X87" i="30"/>
  <c r="N30" i="4" s="1"/>
  <c r="I86" i="30"/>
  <c r="C30" i="4" s="1"/>
  <c r="G30" i="4" s="1"/>
  <c r="AB86" i="30" a="1"/>
  <c r="AB86" i="30" s="1"/>
  <c r="AA87" i="30" s="1"/>
  <c r="R30" i="4" s="1"/>
  <c r="G32" i="4"/>
  <c r="AD87" i="36"/>
  <c r="S32" i="4" s="1"/>
  <c r="R86" i="36"/>
  <c r="R87" i="36" s="1"/>
  <c r="L32" i="4" s="1"/>
  <c r="F21" i="4"/>
  <c r="S86" i="35"/>
  <c r="R87" i="35" s="1"/>
  <c r="L21" i="4" s="1"/>
  <c r="X87" i="35"/>
  <c r="N21" i="4" s="1"/>
  <c r="G21" i="4"/>
  <c r="H21" i="4"/>
  <c r="U86" i="35"/>
  <c r="U87" i="35" s="1"/>
  <c r="M21" i="4" s="1"/>
  <c r="AD87" i="15"/>
  <c r="S6" i="4" s="1"/>
  <c r="R87" i="15"/>
  <c r="L6" i="4" s="1"/>
  <c r="O87" i="15"/>
  <c r="K6" i="4" s="1"/>
  <c r="X87" i="15"/>
  <c r="N6" i="4" s="1"/>
  <c r="F6" i="4"/>
  <c r="H6" i="4"/>
  <c r="O87" i="33"/>
  <c r="K41" i="4" s="1"/>
  <c r="R87" i="16"/>
  <c r="L37" i="4" s="1"/>
  <c r="O87" i="16"/>
  <c r="K37" i="4" s="1"/>
  <c r="O87" i="28"/>
  <c r="K39" i="4" s="1"/>
  <c r="AD87" i="6"/>
  <c r="S31" i="4" s="1"/>
  <c r="AD87" i="19"/>
  <c r="S28" i="4" s="1"/>
  <c r="R87" i="19"/>
  <c r="L28" i="4" s="1"/>
  <c r="R87" i="31"/>
  <c r="L10" i="4" s="1"/>
  <c r="U87" i="22"/>
  <c r="M16" i="4" s="1"/>
  <c r="AD87" i="13"/>
  <c r="S15" i="4" s="1"/>
  <c r="O87" i="8"/>
  <c r="K5" i="4" s="1"/>
  <c r="X87" i="28"/>
  <c r="N39" i="4" s="1"/>
  <c r="T86" i="28"/>
  <c r="R87" i="28" s="1"/>
  <c r="L39" i="4" s="1"/>
  <c r="V86" i="6"/>
  <c r="U87" i="6" s="1"/>
  <c r="M31" i="4" s="1"/>
  <c r="AD87" i="9"/>
  <c r="S36" i="4" s="1"/>
  <c r="O86" i="9"/>
  <c r="O87" i="9" s="1"/>
  <c r="K36" i="4" s="1"/>
  <c r="F36" i="4"/>
  <c r="G36" i="4"/>
  <c r="W86" i="9"/>
  <c r="U87" i="9" s="1"/>
  <c r="M36" i="4" s="1"/>
  <c r="R87" i="29"/>
  <c r="L40" i="4" s="1"/>
  <c r="G40" i="4"/>
  <c r="X87" i="29"/>
  <c r="N40" i="4" s="1"/>
  <c r="M86" i="29"/>
  <c r="I40" i="4" s="1"/>
  <c r="H40" i="4" s="1"/>
  <c r="Q86" i="29"/>
  <c r="O87" i="29" s="1"/>
  <c r="K40" i="4" s="1"/>
  <c r="F40" i="4"/>
  <c r="AB86" i="29" a="1"/>
  <c r="AB86" i="29" s="1"/>
  <c r="AA87" i="29" s="1"/>
  <c r="R40" i="4" s="1"/>
  <c r="AB86" i="21" a="1"/>
  <c r="AB86" i="21" s="1"/>
  <c r="AA87" i="21" s="1"/>
  <c r="R29" i="4" s="1"/>
  <c r="X87" i="21"/>
  <c r="N29" i="4" s="1"/>
  <c r="O87" i="21"/>
  <c r="K29" i="4" s="1"/>
  <c r="U87" i="21"/>
  <c r="M29" i="4" s="1"/>
  <c r="S86" i="21"/>
  <c r="T86" i="21"/>
  <c r="Z86" i="19"/>
  <c r="X87" i="19" s="1"/>
  <c r="N28" i="4" s="1"/>
  <c r="P86" i="19"/>
  <c r="O87" i="19" s="1"/>
  <c r="K28" i="4" s="1"/>
  <c r="AB86" i="19" a="1"/>
  <c r="AB86" i="19" s="1"/>
  <c r="AA87" i="19" s="1"/>
  <c r="R28" i="4" s="1"/>
  <c r="G10" i="4"/>
  <c r="F10" i="4"/>
  <c r="H10" i="4"/>
  <c r="O87" i="31"/>
  <c r="K10" i="4" s="1"/>
  <c r="AD87" i="22"/>
  <c r="S16" i="4" s="1"/>
  <c r="O87" i="22"/>
  <c r="K16" i="4" s="1"/>
  <c r="R87" i="22"/>
  <c r="L16" i="4" s="1"/>
  <c r="I86" i="22"/>
  <c r="C16" i="4" s="1"/>
  <c r="G16" i="4" s="1"/>
  <c r="Q86" i="13"/>
  <c r="W86" i="13"/>
  <c r="U87" i="13" s="1"/>
  <c r="M15" i="4" s="1"/>
  <c r="P86" i="13"/>
  <c r="T86" i="13"/>
  <c r="R87" i="13" s="1"/>
  <c r="L15" i="4" s="1"/>
  <c r="H15" i="4"/>
  <c r="G15" i="4"/>
  <c r="U86" i="8"/>
  <c r="U87" i="8" s="1"/>
  <c r="M5" i="4" s="1"/>
  <c r="Z86" i="8"/>
  <c r="X87" i="8" s="1"/>
  <c r="N5" i="4" s="1"/>
  <c r="O87" i="12"/>
  <c r="K26" i="4" s="1"/>
  <c r="H11" i="4"/>
  <c r="AD87" i="23"/>
  <c r="S17" i="4" s="1"/>
  <c r="AD87" i="12"/>
  <c r="S26" i="4" s="1"/>
  <c r="X87" i="12"/>
  <c r="N26" i="4" s="1"/>
  <c r="H26" i="4"/>
  <c r="G26" i="4"/>
  <c r="AB86" i="12" a="1"/>
  <c r="AB86" i="12" s="1"/>
  <c r="AA87" i="12" s="1"/>
  <c r="R26" i="4" s="1"/>
  <c r="R87" i="18"/>
  <c r="L38" i="4" s="1"/>
  <c r="X87" i="18"/>
  <c r="N38" i="4" s="1"/>
  <c r="V86" i="18"/>
  <c r="U87" i="18" s="1"/>
  <c r="M38" i="4" s="1"/>
  <c r="O87" i="23"/>
  <c r="K17" i="4" s="1"/>
  <c r="R87" i="23"/>
  <c r="L17" i="4" s="1"/>
  <c r="X86" i="23"/>
  <c r="X87" i="23" s="1"/>
  <c r="N17" i="4" s="1"/>
  <c r="W86" i="23"/>
  <c r="U87" i="23" s="1"/>
  <c r="M17" i="4" s="1"/>
  <c r="AD87" i="26"/>
  <c r="S19" i="4" s="1"/>
  <c r="O87" i="26"/>
  <c r="K19" i="4" s="1"/>
  <c r="U87" i="26"/>
  <c r="M19" i="4" s="1"/>
  <c r="AB86" i="26" a="1"/>
  <c r="AB86" i="26" s="1"/>
  <c r="AA87" i="26" s="1"/>
  <c r="R19" i="4" s="1"/>
  <c r="O87" i="27"/>
  <c r="K20" i="4" s="1"/>
  <c r="R86" i="27"/>
  <c r="R87" i="27" s="1"/>
  <c r="L20" i="4" s="1"/>
  <c r="AB86" i="27" a="1"/>
  <c r="AB86" i="27" s="1"/>
  <c r="AA87" i="27" s="1"/>
  <c r="R20" i="4" s="1"/>
  <c r="AD87" i="11"/>
  <c r="S25" i="4" s="1"/>
  <c r="R87" i="11"/>
  <c r="L25" i="4" s="1"/>
  <c r="U87" i="34"/>
  <c r="M42" i="4" s="1"/>
  <c r="X86" i="34"/>
  <c r="X87" i="34" s="1"/>
  <c r="N42" i="4" s="1"/>
  <c r="O87" i="11"/>
  <c r="K25" i="4" s="1"/>
  <c r="M86" i="11"/>
  <c r="I25" i="4" s="1"/>
  <c r="H25" i="4" s="1"/>
  <c r="AD87" i="33"/>
  <c r="S41" i="4" s="1"/>
  <c r="AD87" i="16"/>
  <c r="S37" i="4" s="1"/>
  <c r="G37" i="4"/>
  <c r="U86" i="16"/>
  <c r="V86" i="16"/>
  <c r="Z86" i="16"/>
  <c r="Y86" i="16"/>
  <c r="AB86" i="16" a="1"/>
  <c r="AB86" i="16" s="1"/>
  <c r="AA87" i="16" s="1"/>
  <c r="R37" i="4" s="1"/>
  <c r="U87" i="33"/>
  <c r="M41" i="4" s="1"/>
  <c r="H41" i="4"/>
  <c r="G41" i="4"/>
  <c r="Z86" i="33"/>
  <c r="X87" i="33" s="1"/>
  <c r="N41" i="4" s="1"/>
  <c r="T86" i="33"/>
  <c r="R87" i="33" s="1"/>
  <c r="L41" i="4" s="1"/>
  <c r="AB86" i="33" a="1"/>
  <c r="AB86" i="33" s="1"/>
  <c r="AA87" i="33" s="1"/>
  <c r="R41" i="4" s="1"/>
  <c r="R87" i="7"/>
  <c r="L4" i="4" s="1"/>
  <c r="AB86" i="24" a="1"/>
  <c r="AB86" i="24" s="1"/>
  <c r="AA87" i="24" s="1"/>
  <c r="R18" i="4" s="1"/>
  <c r="AD87" i="24"/>
  <c r="S18" i="4" s="1"/>
  <c r="O87" i="24"/>
  <c r="K18" i="4" s="1"/>
  <c r="N86" i="24"/>
  <c r="J18" i="4" s="1"/>
  <c r="S86" i="24"/>
  <c r="R87" i="24" s="1"/>
  <c r="L18" i="4" s="1"/>
  <c r="U87" i="32"/>
  <c r="M11" i="4" s="1"/>
  <c r="G11" i="4"/>
  <c r="T86" i="32"/>
  <c r="R87" i="32" s="1"/>
  <c r="L11" i="4" s="1"/>
  <c r="F11" i="4"/>
  <c r="AB86" i="32" a="1"/>
  <c r="AB86" i="32" s="1"/>
  <c r="AA87" i="32" s="1"/>
  <c r="R11" i="4" s="1"/>
  <c r="U87" i="20"/>
  <c r="M8" i="4" s="1"/>
  <c r="L86" i="20"/>
  <c r="E8" i="4" s="1"/>
  <c r="F8" i="4" s="1"/>
  <c r="Y86" i="20"/>
  <c r="X87" i="20" s="1"/>
  <c r="N8" i="4" s="1"/>
  <c r="J86" i="20"/>
  <c r="D8" i="4" s="1"/>
  <c r="O86" i="20"/>
  <c r="O87" i="20" s="1"/>
  <c r="K8" i="4" s="1"/>
  <c r="O87" i="10"/>
  <c r="K14" i="4" s="1"/>
  <c r="K86" i="10"/>
  <c r="G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86" i="10" s="1" a="1"/>
  <c r="AB86" i="10" s="1"/>
  <c r="AA87" i="10" s="1"/>
  <c r="R14" i="4" s="1"/>
  <c r="AD87" i="17"/>
  <c r="S7" i="4" s="1"/>
  <c r="U87" i="17"/>
  <c r="M7" i="4" s="1"/>
  <c r="R87" i="17"/>
  <c r="L7" i="4" s="1"/>
  <c r="G7" i="4"/>
  <c r="O86" i="17"/>
  <c r="O87" i="17" s="1"/>
  <c r="K7" i="4" s="1"/>
  <c r="M86" i="17"/>
  <c r="I7" i="4" s="1"/>
  <c r="H7" i="4" s="1"/>
  <c r="Z86" i="5"/>
  <c r="X87" i="5" s="1"/>
  <c r="N35" i="4" s="1"/>
  <c r="O87" i="5"/>
  <c r="K35" i="4" s="1"/>
  <c r="S86" i="5"/>
  <c r="R87" i="5" s="1"/>
  <c r="L35" i="4" s="1"/>
  <c r="F26" i="4"/>
  <c r="H31" i="4"/>
  <c r="F41" i="4"/>
  <c r="H38" i="4"/>
  <c r="F7" i="4"/>
  <c r="H27" i="4"/>
  <c r="F15" i="4"/>
  <c r="F27" i="4"/>
  <c r="AD87" i="34"/>
  <c r="S42" i="4" s="1"/>
  <c r="AD87" i="21"/>
  <c r="S29" i="4" s="1"/>
  <c r="H28" i="4"/>
  <c r="R87" i="26"/>
  <c r="L19" i="4" s="1"/>
  <c r="H5" i="4"/>
  <c r="F4" i="4"/>
  <c r="H4" i="4"/>
  <c r="H36" i="4"/>
  <c r="H8" i="4"/>
  <c r="U87" i="15"/>
  <c r="M6" i="4" s="1"/>
  <c r="X87" i="13"/>
  <c r="N15" i="4" s="1"/>
  <c r="O87" i="18"/>
  <c r="K38" i="4" s="1"/>
  <c r="H14" i="4"/>
  <c r="AD87" i="32"/>
  <c r="S11" i="4" s="1"/>
  <c r="AD87" i="18"/>
  <c r="S38" i="4" s="1"/>
  <c r="X87" i="10"/>
  <c r="N14" i="4" s="1"/>
  <c r="AD87" i="5"/>
  <c r="S35" i="4" s="1"/>
  <c r="U87" i="31"/>
  <c r="M10" i="4" s="1"/>
  <c r="AD87" i="25"/>
  <c r="S9" i="4" s="1"/>
  <c r="AD87" i="7"/>
  <c r="S4" i="4" s="1"/>
  <c r="AD87" i="27"/>
  <c r="S20" i="4" s="1"/>
  <c r="X87" i="27"/>
  <c r="N20" i="4" s="1"/>
  <c r="F37" i="4"/>
  <c r="H37" i="4"/>
  <c r="F9" i="4"/>
  <c r="H9" i="4"/>
  <c r="AD87" i="28"/>
  <c r="S39" i="4" s="1"/>
  <c r="X87" i="31"/>
  <c r="N10" i="4" s="1"/>
  <c r="U87" i="10"/>
  <c r="M14" i="4" s="1"/>
  <c r="AD87" i="29"/>
  <c r="S40" i="4" s="1"/>
  <c r="X87" i="9"/>
  <c r="N36" i="4" s="1"/>
  <c r="AD87" i="10"/>
  <c r="S14" i="4" s="1"/>
  <c r="AD87" i="31"/>
  <c r="S10" i="4" s="1"/>
  <c r="F39" i="4"/>
  <c r="H39" i="4"/>
  <c r="AD87" i="20"/>
  <c r="S8" i="4" s="1"/>
  <c r="U87" i="28"/>
  <c r="M39" i="4" s="1"/>
  <c r="F25" i="4"/>
  <c r="F18" i="4"/>
  <c r="H18" i="4"/>
  <c r="F32" i="4"/>
  <c r="H32" i="4"/>
  <c r="AD87" i="8"/>
  <c r="S5" i="4" s="1"/>
  <c r="AD87" i="35"/>
  <c r="S21" i="4" s="1"/>
  <c r="O87" i="32"/>
  <c r="K11" i="4" s="1"/>
  <c r="F30" i="4" l="1"/>
  <c r="H30" i="4"/>
  <c r="R87" i="21"/>
  <c r="L29" i="4" s="1"/>
  <c r="F16" i="4"/>
  <c r="H16" i="4"/>
  <c r="O87" i="13"/>
  <c r="K15" i="4" s="1"/>
  <c r="X87" i="16"/>
  <c r="N37" i="4" s="1"/>
  <c r="U87" i="16"/>
  <c r="M37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<sst xmlns="http://schemas.openxmlformats.org/spreadsheetml/2006/main" count="15242" uniqueCount="192">
  <si>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</si>
  <si>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</si>
  <si>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</si>
  <si>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</si>
  <si>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</si>
  <si>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</si>
  <si>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</si>
  <si>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</si>
  <si>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</si>
  <si>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</si>
  <si>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</si>
  <si>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</si>
  <si>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</si>
  <si>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</si>
  <si>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</si>
  <si>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</si>
  <si>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</si>
  <si>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</si>
  <si>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</si>
  <si>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</si>
  <si>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</si>
  <si>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</si>
  <si>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</si>
  <si>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</si>
  <si>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</si>
  <si>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</si>
  <si>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</si>
  <si>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</si>
  <si>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</si>
  <si>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</si>
  <si>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</si>
  <si>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</si>
  <si>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</si>
  <si>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</si>
  <si>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</si>
  <si>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</si>
  <si>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</si>
  <si>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</si>
  <si>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</si>
  <si>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</si>
  <si>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</si>
  <si>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</si>
  <si>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</si>
  <si>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Eastern Conference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</si>
  <si>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</si>
  <si>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</si>
  <si>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</si>
  <si>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</si>
  <si>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</si>
  <si>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</si>
  <si>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</si>
  <si>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</si>
  <si>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</si>
  <si>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</si>
  <si>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</si>
  <si>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</si>
  <si>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</si>
  <si>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</si>
  <si>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</si>
  <si>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</si>
  <si>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</si>
  <si>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</si>
  <si>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</si>
  <si>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</si>
  <si>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</si>
  <si>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</si>
  <si>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</si>
  <si>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</si>
  <si>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</si>
  <si>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</si>
  <si>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</si>
  <si>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</si>
  <si>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</si>
  <si>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</si>
  <si>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</si>
  <si>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</si>
  <si>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</si>
  <si>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</si>
  <si>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</si>
  <si>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</si>
  <si>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</si>
  <si>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</si>
  <si>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</si>
  <si>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</si>
  <si>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</si>
  <si>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</si>
  <si>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</si>
  <si>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</si>
  <si>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</si>
  <si>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</si>
  <si>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September</t>
  </si>
  <si>
    <t>1-0-0</t>
  </si>
  <si>
    <t>0-0-0</t>
  </si>
  <si>
    <t>W1</t>
  </si>
  <si>
    <t>0-0</t>
  </si>
  <si>
    <t>0-1-0</t>
  </si>
  <si>
    <t>L1</t>
  </si>
  <si>
    <t>0-0-1</t>
  </si>
  <si>
    <t>1-1-0</t>
  </si>
  <si>
    <t>1-0-1</t>
  </si>
  <si>
    <t>0-1-1</t>
  </si>
  <si>
    <t>L2</t>
  </si>
  <si>
    <t>0-2-0</t>
  </si>
  <si>
    <t>W2</t>
  </si>
  <si>
    <t>2-0-0</t>
  </si>
  <si>
    <t>2-1-0</t>
  </si>
  <si>
    <t>1-2-0</t>
  </si>
  <si>
    <t>1-1-1</t>
  </si>
  <si>
    <t>0-1-2</t>
  </si>
  <si>
    <t>L3</t>
  </si>
  <si>
    <t>0-3-0</t>
  </si>
  <si>
    <t>2-0-1</t>
  </si>
  <si>
    <t>1-0-2</t>
  </si>
  <si>
    <t>W3</t>
  </si>
  <si>
    <t>3-1-0</t>
  </si>
  <si>
    <t>2-2-0</t>
  </si>
  <si>
    <t>0-2-2</t>
  </si>
  <si>
    <t>L4</t>
  </si>
  <si>
    <t>2-0-2</t>
  </si>
  <si>
    <t>2-1-1</t>
  </si>
  <si>
    <t>3-0-0</t>
  </si>
  <si>
    <t>W4</t>
  </si>
  <si>
    <t>4-1-0</t>
  </si>
  <si>
    <t>1-3-0</t>
  </si>
  <si>
    <t>0-2-1</t>
  </si>
  <si>
    <t>3-0-1</t>
  </si>
  <si>
    <t>3-2-0</t>
  </si>
  <si>
    <t>1-2-1</t>
  </si>
  <si>
    <t>2-2-1</t>
  </si>
  <si>
    <t>3-1-1</t>
  </si>
  <si>
    <t>0-3-2</t>
  </si>
  <si>
    <t>L5</t>
  </si>
  <si>
    <t>0-4-0</t>
  </si>
  <si>
    <t>1-4-0</t>
  </si>
  <si>
    <t>2-3-0</t>
  </si>
  <si>
    <t>4-2-0</t>
  </si>
  <si>
    <t>1-3-1</t>
  </si>
  <si>
    <t>2-1-2</t>
  </si>
  <si>
    <t>3-2-1</t>
  </si>
  <si>
    <t>4-1-1</t>
  </si>
  <si>
    <t>0-3-1</t>
  </si>
  <si>
    <t>0-4-2</t>
  </si>
  <si>
    <t>L6</t>
  </si>
  <si>
    <t>1-5-0</t>
  </si>
  <si>
    <t>0-5-0</t>
  </si>
  <si>
    <t>4-0-1</t>
  </si>
  <si>
    <t>0-0-2</t>
  </si>
  <si>
    <t>2-4-0</t>
  </si>
  <si>
    <t>5-1-0</t>
  </si>
  <si>
    <t>4-0-0</t>
  </si>
  <si>
    <t>W5</t>
  </si>
  <si>
    <t>5-1-1</t>
  </si>
  <si>
    <t>5-2-0</t>
  </si>
  <si>
    <t>0-5-2</t>
  </si>
  <si>
    <t>L7</t>
  </si>
  <si>
    <t>2-5-0</t>
  </si>
  <si>
    <t>3-3-0</t>
  </si>
  <si>
    <t>2-2-2</t>
  </si>
  <si>
    <t>3-3-1</t>
  </si>
  <si>
    <t>1-1-2</t>
  </si>
  <si>
    <t>1-3-2</t>
  </si>
  <si>
    <t>3-1-2</t>
  </si>
  <si>
    <t>3-2-2</t>
  </si>
  <si>
    <t>W6</t>
  </si>
  <si>
    <t>6-1-1</t>
  </si>
  <si>
    <t>5-0-0</t>
  </si>
  <si>
    <t>6-2-0</t>
  </si>
  <si>
    <t>L8</t>
  </si>
  <si>
    <t>0-5-3</t>
  </si>
  <si>
    <t>2-3-1</t>
  </si>
  <si>
    <t>4-2-1</t>
  </si>
  <si>
    <t>5-0-1</t>
  </si>
  <si>
    <t>2-6-0</t>
  </si>
  <si>
    <t>4-3-0</t>
  </si>
  <si>
    <t>4-3-1</t>
  </si>
  <si>
    <t>2-3-2</t>
  </si>
  <si>
    <t>4-2-2</t>
  </si>
  <si>
    <t>3-3-2</t>
  </si>
  <si>
    <t>6-3-0</t>
  </si>
  <si>
    <t>0-4-1</t>
  </si>
  <si>
    <t>0-6-2</t>
  </si>
  <si>
    <t>L9</t>
  </si>
  <si>
    <t>0-6-3</t>
  </si>
  <si>
    <t>3-5-0</t>
  </si>
  <si>
    <t>5-2-1</t>
  </si>
  <si>
    <t>2-2-3</t>
  </si>
  <si>
    <t>4-1-2</t>
  </si>
  <si>
    <t>1-6-0</t>
  </si>
  <si>
    <t>1-4-1</t>
  </si>
  <si>
    <t>2-6-1</t>
  </si>
  <si>
    <t>7-2-0</t>
  </si>
  <si>
    <t>3-4-1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</si>
</sst>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sheetMetadata" Target="metadata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ColWidth="9.109375" defaultRowHeight="14.4" x14ac:dyDescent="0.3"/>
  <cols>
    <col min="1" max="1" width="25.88671875" style="1" customWidth="1"/>
    <col min="2" max="2" width="9.109375" style="1"/>
    <col min="3" max="3" width="20.5546875" style="1" customWidth="1"/>
    <col min="4" max="16384" width="9.109375" style="1"/>
  </cols>
  <sheetData>
    <row r="1" spans="1:3" ht="15.6" thickTop="1" thickBot="1" x14ac:dyDescent="0.35">
      <c r="A1" s="7" t="s">
        <v>33</v>
      </c>
      <c r="C1" s="6" t="s">
        <v>32</v>
      </c>
    </row>
    <row r="2" spans="1:3" ht="15.6" thickTop="1" thickBot="1" x14ac:dyDescent="0.35">
      <c r="A2" s="5" t="s">
        <v>31</v>
      </c>
      <c r="C2" s="4" t="s">
        <v>30</v>
      </c>
    </row>
    <row r="3" spans="1:3" ht="15" thickTop="1" x14ac:dyDescent="0.3">
      <c r="A3" s="3" t="s">
        <v>29</v>
      </c>
    </row>
    <row r="4" spans="1:3" x14ac:dyDescent="0.3">
      <c r="A4" s="3" t="s">
        <v>28</v>
      </c>
    </row>
    <row r="5" spans="1:3" x14ac:dyDescent="0.3">
      <c r="A5" s="3" t="s">
        <v>27</v>
      </c>
    </row>
    <row r="6" spans="1:3" x14ac:dyDescent="0.3">
      <c r="A6" s="3" t="s">
        <v>26</v>
      </c>
    </row>
    <row r="7" spans="1:3" x14ac:dyDescent="0.3">
      <c r="A7" s="3" t="s">
        <v>25</v>
      </c>
    </row>
    <row r="8" spans="1:3" x14ac:dyDescent="0.3">
      <c r="A8" s="3" t="s">
        <v>24</v>
      </c>
    </row>
    <row r="9" spans="1:3" x14ac:dyDescent="0.3">
      <c r="A9" s="3" t="s">
        <v>23</v>
      </c>
    </row>
    <row r="10" spans="1:3" x14ac:dyDescent="0.3">
      <c r="A10" s="3" t="s">
        <v>22</v>
      </c>
    </row>
    <row r="11" spans="1:3" x14ac:dyDescent="0.3">
      <c r="A11" s="3" t="s">
        <v>21</v>
      </c>
    </row>
    <row r="12" spans="1:3" x14ac:dyDescent="0.3">
      <c r="A12" s="3" t="s">
        <v>20</v>
      </c>
    </row>
    <row r="13" spans="1:3" x14ac:dyDescent="0.3">
      <c r="A13" s="3" t="s">
        <v>19</v>
      </c>
    </row>
    <row r="14" spans="1:3" x14ac:dyDescent="0.3">
      <c r="A14" s="3" t="s">
        <v>18</v>
      </c>
    </row>
    <row r="15" spans="1:3" x14ac:dyDescent="0.3">
      <c r="A15" s="3" t="s">
        <v>17</v>
      </c>
    </row>
    <row r="16" spans="1:3" x14ac:dyDescent="0.3">
      <c r="A16" s="3" t="s">
        <v>16</v>
      </c>
    </row>
    <row r="17" spans="1:1" x14ac:dyDescent="0.3">
      <c r="A17" s="3" t="s">
        <v>15</v>
      </c>
    </row>
    <row r="18" spans="1:1" x14ac:dyDescent="0.3">
      <c r="A18" s="3" t="s">
        <v>14</v>
      </c>
    </row>
    <row r="19" spans="1:1" x14ac:dyDescent="0.3">
      <c r="A19" s="3" t="s">
        <v>13</v>
      </c>
    </row>
    <row r="20" spans="1:1" x14ac:dyDescent="0.3">
      <c r="A20" s="3" t="s">
        <v>12</v>
      </c>
    </row>
    <row r="21" spans="1:1" x14ac:dyDescent="0.3">
      <c r="A21" s="3" t="s">
        <v>11</v>
      </c>
    </row>
    <row r="22" spans="1:1" x14ac:dyDescent="0.3">
      <c r="A22" s="3" t="s">
        <v>10</v>
      </c>
    </row>
    <row r="23" spans="1:1" x14ac:dyDescent="0.3">
      <c r="A23" s="3" t="s">
        <v>9</v>
      </c>
    </row>
    <row r="24" spans="1:1" x14ac:dyDescent="0.3">
      <c r="A24" s="3" t="s">
        <v>8</v>
      </c>
    </row>
    <row r="25" spans="1:1" x14ac:dyDescent="0.3">
      <c r="A25" s="3" t="s">
        <v>7</v>
      </c>
    </row>
    <row r="26" spans="1:1" x14ac:dyDescent="0.3">
      <c r="A26" s="3" t="s">
        <v>6</v>
      </c>
    </row>
    <row r="27" spans="1:1" x14ac:dyDescent="0.3">
      <c r="A27" s="3" t="s">
        <v>5</v>
      </c>
    </row>
    <row r="28" spans="1:1" x14ac:dyDescent="0.3">
      <c r="A28" s="3" t="s">
        <v>4</v>
      </c>
    </row>
    <row r="29" spans="1:1" x14ac:dyDescent="0.3">
      <c r="A29" s="3" t="s">
        <v>89</v>
      </c>
    </row>
    <row r="30" spans="1:1" x14ac:dyDescent="0.3">
      <c r="A30" s="3" t="s">
        <v>3</v>
      </c>
    </row>
    <row r="31" spans="1:1" x14ac:dyDescent="0.3">
      <c r="A31" s="3" t="s">
        <v>2</v>
      </c>
    </row>
    <row r="32" spans="1:1" x14ac:dyDescent="0.3">
      <c r="A32" s="3" t="s">
        <v>1</v>
      </c>
    </row>
    <row r="33" spans="1:1" ht="15" thickBot="1" x14ac:dyDescent="0.35">
      <c r="A33" s="2" t="s">
        <v>0</v>
      </c>
    </row>
    <row r="34" spans="1:1" ht="15" thickTop="1" x14ac:dyDescent="0.3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202"/>
  <sheetViews>
    <sheetView tabSelected="1" workbookViewId="0">
      <selection activeCell="B23" sqref="B23"/>
    </sheetView>
  </sheetViews>
  <sheetFormatPr defaultColWidth="9.109375" defaultRowHeight="14.4" outlineLevelRow="1" x14ac:dyDescent="0.3"/>
  <cols>
    <col min="1" max="1" width="34" style="9" customWidth="1"/>
    <col min="2" max="2" width="22.109375" style="8" customWidth="1"/>
    <col min="3" max="16384" width="9.109375" style="8"/>
  </cols>
  <sheetData>
    <row r="1" spans="1:3" ht="19.2" thickTop="1" thickBot="1" x14ac:dyDescent="0.35">
      <c r="A1" s="44" t="s">
        <v>90</v>
      </c>
      <c r="B1" s="44"/>
      <c r="C1" s="18" t="s">
        <v>41</v>
      </c>
    </row>
    <row r="2" spans="1:3" ht="15.6" hidden="1" outlineLevel="1" thickTop="1" thickBot="1" x14ac:dyDescent="0.35">
      <c r="A2" s="16" t="s">
        <v>34</v>
      </c>
      <c r="B2" s="15" t="s">
        <v>32</v>
      </c>
    </row>
    <row r="3" spans="1:3" ht="15" hidden="1" outlineLevel="1" thickTop="1" x14ac:dyDescent="0.3">
      <c r="A3" s="13">
        <v>46294</v>
      </c>
      <c r="B3" s="17" t="s">
        <v>32</v>
      </c>
    </row>
    <row r="4" spans="1:3" ht="15" hidden="1" outlineLevel="1" thickBot="1" x14ac:dyDescent="0.35">
      <c r="A4" s="13">
        <v>46295</v>
      </c>
      <c r="B4" s="12" t="s">
        <v>32</v>
      </c>
    </row>
    <row r="5" spans="1:3" ht="19.2" collapsed="1" thickTop="1" thickBot="1" x14ac:dyDescent="0.35">
      <c r="A5" s="44" t="s">
        <v>42</v>
      </c>
      <c r="B5" s="44"/>
    </row>
    <row r="6" spans="1:3" ht="15.6" outlineLevel="1" thickTop="1" thickBot="1" x14ac:dyDescent="0.35">
      <c r="A6" s="16" t="s">
        <v>34</v>
      </c>
      <c r="B6" s="15" t="s">
        <v>32</v>
      </c>
    </row>
    <row r="7" spans="1:3" ht="15" outlineLevel="1" thickTop="1" x14ac:dyDescent="0.3">
      <c r="A7" s="13">
        <v>46296</v>
      </c>
      <c r="B7" s="12" t="s">
        <v>32</v>
      </c>
    </row>
    <row r="8" spans="1:3" outlineLevel="1" x14ac:dyDescent="0.3">
      <c r="A8" s="13">
        <v>46297</v>
      </c>
      <c r="B8" s="12" t="s">
        <v>32</v>
      </c>
    </row>
    <row r="9" spans="1:3" outlineLevel="1" x14ac:dyDescent="0.3">
      <c r="A9" s="13">
        <v>46298</v>
      </c>
      <c r="B9" s="12" t="s">
        <v>32</v>
      </c>
    </row>
    <row r="10" spans="1:3" outlineLevel="1" x14ac:dyDescent="0.3">
      <c r="A10" s="13">
        <v>46299</v>
      </c>
      <c r="B10" s="12" t="s">
        <v>32</v>
      </c>
    </row>
    <row r="11" spans="1:3" outlineLevel="1" x14ac:dyDescent="0.3">
      <c r="A11" s="13">
        <v>46300</v>
      </c>
      <c r="B11" s="12" t="s">
        <v>32</v>
      </c>
    </row>
    <row r="12" spans="1:3" outlineLevel="1" x14ac:dyDescent="0.3">
      <c r="A12" s="13">
        <v>46301</v>
      </c>
      <c r="B12" s="12" t="s">
        <v>32</v>
      </c>
    </row>
    <row r="13" spans="1:3" outlineLevel="1" x14ac:dyDescent="0.3">
      <c r="A13" s="13">
        <v>46302</v>
      </c>
      <c r="B13" s="12" t="s">
        <v>32</v>
      </c>
    </row>
    <row r="14" spans="1:3" outlineLevel="1" x14ac:dyDescent="0.3">
      <c r="A14" s="13">
        <v>46303</v>
      </c>
      <c r="B14" s="12" t="s">
        <v>32</v>
      </c>
    </row>
    <row r="15" spans="1:3" outlineLevel="1" x14ac:dyDescent="0.3">
      <c r="A15" s="13">
        <v>46304</v>
      </c>
      <c r="B15" s="12" t="s">
        <v>32</v>
      </c>
    </row>
    <row r="16" spans="1:3" outlineLevel="1" x14ac:dyDescent="0.3">
      <c r="A16" s="13">
        <v>46305</v>
      </c>
      <c r="B16" s="12" t="s">
        <v>32</v>
      </c>
    </row>
    <row r="17" spans="1:2" outlineLevel="1" x14ac:dyDescent="0.3">
      <c r="A17" s="13">
        <v>46306</v>
      </c>
      <c r="B17" s="12" t="s">
        <v>32</v>
      </c>
    </row>
    <row r="18" spans="1:2" outlineLevel="1" x14ac:dyDescent="0.3">
      <c r="A18" s="13">
        <v>46307</v>
      </c>
      <c r="B18" s="12" t="s">
        <v>32</v>
      </c>
    </row>
    <row r="19" spans="1:2" outlineLevel="1" x14ac:dyDescent="0.3">
      <c r="A19" s="13">
        <v>46308</v>
      </c>
      <c r="B19" s="12" t="s">
        <v>32</v>
      </c>
    </row>
    <row r="20" spans="1:2" outlineLevel="1" x14ac:dyDescent="0.3">
      <c r="A20" s="13">
        <v>46309</v>
      </c>
      <c r="B20" s="12" t="s">
        <v>32</v>
      </c>
    </row>
    <row r="21" spans="1:2" outlineLevel="1" x14ac:dyDescent="0.3">
      <c r="A21" s="13">
        <v>46310</v>
      </c>
      <c r="B21" s="12" t="s">
        <v>32</v>
      </c>
    </row>
    <row r="22" spans="1:2" outlineLevel="1" x14ac:dyDescent="0.3">
      <c r="A22" s="13">
        <v>46311</v>
      </c>
      <c r="B22" s="12" t="s">
        <v>32</v>
      </c>
    </row>
    <row r="23" spans="1:2" outlineLevel="1" x14ac:dyDescent="0.3">
      <c r="A23" s="13">
        <v>46312</v>
      </c>
      <c r="B23" s="12"/>
    </row>
    <row r="24" spans="1:2" outlineLevel="1" x14ac:dyDescent="0.3">
      <c r="A24" s="13">
        <v>46313</v>
      </c>
      <c r="B24" s="12"/>
    </row>
    <row r="25" spans="1:2" outlineLevel="1" x14ac:dyDescent="0.3">
      <c r="A25" s="13">
        <v>46314</v>
      </c>
      <c r="B25" s="12"/>
    </row>
    <row r="26" spans="1:2" outlineLevel="1" x14ac:dyDescent="0.3">
      <c r="A26" s="13">
        <v>46315</v>
      </c>
      <c r="B26" s="12"/>
    </row>
    <row r="27" spans="1:2" outlineLevel="1" x14ac:dyDescent="0.3">
      <c r="A27" s="13">
        <v>46316</v>
      </c>
      <c r="B27" s="12"/>
    </row>
    <row r="28" spans="1:2" outlineLevel="1" x14ac:dyDescent="0.3">
      <c r="A28" s="13">
        <v>46317</v>
      </c>
      <c r="B28" s="12"/>
    </row>
    <row r="29" spans="1:2" outlineLevel="1" x14ac:dyDescent="0.3">
      <c r="A29" s="13">
        <v>46318</v>
      </c>
      <c r="B29" s="12"/>
    </row>
    <row r="30" spans="1:2" outlineLevel="1" x14ac:dyDescent="0.3">
      <c r="A30" s="13">
        <v>46319</v>
      </c>
      <c r="B30" s="12"/>
    </row>
    <row r="31" spans="1:2" outlineLevel="1" x14ac:dyDescent="0.3">
      <c r="A31" s="13">
        <v>46320</v>
      </c>
      <c r="B31" s="12"/>
    </row>
    <row r="32" spans="1:2" outlineLevel="1" x14ac:dyDescent="0.3">
      <c r="A32" s="13">
        <v>46321</v>
      </c>
      <c r="B32" s="12"/>
    </row>
    <row r="33" spans="1:2" outlineLevel="1" x14ac:dyDescent="0.3">
      <c r="A33" s="13">
        <v>46322</v>
      </c>
      <c r="B33" s="12"/>
    </row>
    <row r="34" spans="1:2" outlineLevel="1" x14ac:dyDescent="0.3">
      <c r="A34" s="13">
        <v>46323</v>
      </c>
      <c r="B34" s="12"/>
    </row>
    <row r="35" spans="1:2" outlineLevel="1" x14ac:dyDescent="0.3">
      <c r="A35" s="13">
        <v>46324</v>
      </c>
      <c r="B35" s="12"/>
    </row>
    <row r="36" spans="1:2" outlineLevel="1" x14ac:dyDescent="0.3">
      <c r="A36" s="13">
        <v>46325</v>
      </c>
      <c r="B36" s="12"/>
    </row>
    <row r="37" spans="1:2" ht="15" outlineLevel="1" thickBot="1" x14ac:dyDescent="0.35">
      <c r="A37" s="13">
        <v>46326</v>
      </c>
      <c r="B37" s="10"/>
    </row>
    <row r="38" spans="1:2" ht="19.2" thickTop="1" thickBot="1" x14ac:dyDescent="0.35">
      <c r="A38" s="44" t="s">
        <v>40</v>
      </c>
      <c r="B38" s="44"/>
    </row>
    <row r="39" spans="1:2" ht="15.6" hidden="1" outlineLevel="1" thickTop="1" thickBot="1" x14ac:dyDescent="0.35">
      <c r="A39" s="16" t="s">
        <v>34</v>
      </c>
      <c r="B39" s="15" t="s">
        <v>32</v>
      </c>
    </row>
    <row r="40" spans="1:2" ht="15" hidden="1" outlineLevel="1" thickTop="1" x14ac:dyDescent="0.3">
      <c r="A40" s="13">
        <v>46327</v>
      </c>
      <c r="B40" s="17"/>
    </row>
    <row r="41" spans="1:2" hidden="1" outlineLevel="1" x14ac:dyDescent="0.3">
      <c r="A41" s="13">
        <v>46328</v>
      </c>
      <c r="B41" s="12"/>
    </row>
    <row r="42" spans="1:2" hidden="1" outlineLevel="1" x14ac:dyDescent="0.3">
      <c r="A42" s="13">
        <v>46329</v>
      </c>
      <c r="B42" s="12"/>
    </row>
    <row r="43" spans="1:2" hidden="1" outlineLevel="1" x14ac:dyDescent="0.3">
      <c r="A43" s="13">
        <v>46330</v>
      </c>
      <c r="B43" s="12"/>
    </row>
    <row r="44" spans="1:2" hidden="1" outlineLevel="1" x14ac:dyDescent="0.3">
      <c r="A44" s="13">
        <v>46331</v>
      </c>
      <c r="B44" s="12"/>
    </row>
    <row r="45" spans="1:2" hidden="1" outlineLevel="1" x14ac:dyDescent="0.3">
      <c r="A45" s="13">
        <v>46332</v>
      </c>
      <c r="B45" s="12"/>
    </row>
    <row r="46" spans="1:2" hidden="1" outlineLevel="1" x14ac:dyDescent="0.3">
      <c r="A46" s="13">
        <v>46333</v>
      </c>
      <c r="B46" s="12"/>
    </row>
    <row r="47" spans="1:2" hidden="1" outlineLevel="1" x14ac:dyDescent="0.3">
      <c r="A47" s="13">
        <v>46334</v>
      </c>
      <c r="B47" s="12"/>
    </row>
    <row r="48" spans="1:2" hidden="1" outlineLevel="1" x14ac:dyDescent="0.3">
      <c r="A48" s="13">
        <v>46335</v>
      </c>
      <c r="B48" s="12"/>
    </row>
    <row r="49" spans="1:2" hidden="1" outlineLevel="1" x14ac:dyDescent="0.3">
      <c r="A49" s="13">
        <v>46336</v>
      </c>
      <c r="B49" s="12"/>
    </row>
    <row r="50" spans="1:2" hidden="1" outlineLevel="1" x14ac:dyDescent="0.3">
      <c r="A50" s="13">
        <v>46337</v>
      </c>
      <c r="B50" s="12"/>
    </row>
    <row r="51" spans="1:2" hidden="1" outlineLevel="1" x14ac:dyDescent="0.3">
      <c r="A51" s="13">
        <v>46338</v>
      </c>
      <c r="B51" s="12"/>
    </row>
    <row r="52" spans="1:2" hidden="1" outlineLevel="1" x14ac:dyDescent="0.3">
      <c r="A52" s="13">
        <v>46339</v>
      </c>
      <c r="B52" s="12"/>
    </row>
    <row r="53" spans="1:2" hidden="1" outlineLevel="1" x14ac:dyDescent="0.3">
      <c r="A53" s="13">
        <v>46340</v>
      </c>
      <c r="B53" s="12"/>
    </row>
    <row r="54" spans="1:2" hidden="1" outlineLevel="1" x14ac:dyDescent="0.3">
      <c r="A54" s="13">
        <v>46341</v>
      </c>
      <c r="B54" s="12"/>
    </row>
    <row r="55" spans="1:2" hidden="1" outlineLevel="1" x14ac:dyDescent="0.3">
      <c r="A55" s="13">
        <v>46342</v>
      </c>
      <c r="B55" s="12"/>
    </row>
    <row r="56" spans="1:2" hidden="1" outlineLevel="1" x14ac:dyDescent="0.3">
      <c r="A56" s="13">
        <v>46343</v>
      </c>
      <c r="B56" s="12"/>
    </row>
    <row r="57" spans="1:2" hidden="1" outlineLevel="1" x14ac:dyDescent="0.3">
      <c r="A57" s="13">
        <v>46344</v>
      </c>
      <c r="B57" s="12"/>
    </row>
    <row r="58" spans="1:2" hidden="1" outlineLevel="1" x14ac:dyDescent="0.3">
      <c r="A58" s="13">
        <v>46345</v>
      </c>
      <c r="B58" s="12"/>
    </row>
    <row r="59" spans="1:2" hidden="1" outlineLevel="1" x14ac:dyDescent="0.3">
      <c r="A59" s="13">
        <v>46347</v>
      </c>
      <c r="B59" s="12"/>
    </row>
    <row r="60" spans="1:2" hidden="1" outlineLevel="1" x14ac:dyDescent="0.3">
      <c r="A60" s="13">
        <v>46348</v>
      </c>
      <c r="B60" s="12"/>
    </row>
    <row r="61" spans="1:2" hidden="1" outlineLevel="1" x14ac:dyDescent="0.3">
      <c r="A61" s="13">
        <v>46349</v>
      </c>
      <c r="B61" s="12"/>
    </row>
    <row r="62" spans="1:2" hidden="1" outlineLevel="1" x14ac:dyDescent="0.3">
      <c r="A62" s="13">
        <v>46350</v>
      </c>
      <c r="B62" s="12"/>
    </row>
    <row r="63" spans="1:2" hidden="1" outlineLevel="1" x14ac:dyDescent="0.3">
      <c r="A63" s="13">
        <v>46351</v>
      </c>
      <c r="B63" s="12"/>
    </row>
    <row r="64" spans="1:2" hidden="1" outlineLevel="1" x14ac:dyDescent="0.3">
      <c r="A64" s="13">
        <v>46353</v>
      </c>
      <c r="B64" s="12"/>
    </row>
    <row r="65" spans="1:2" hidden="1" outlineLevel="1" x14ac:dyDescent="0.3">
      <c r="A65" s="13">
        <v>46354</v>
      </c>
      <c r="B65" s="12"/>
    </row>
    <row r="66" spans="1:2" hidden="1" outlineLevel="1" x14ac:dyDescent="0.3">
      <c r="A66" s="13">
        <v>46355</v>
      </c>
      <c r="B66" s="12"/>
    </row>
    <row r="67" spans="1:2" ht="15" hidden="1" outlineLevel="1" thickBot="1" x14ac:dyDescent="0.35">
      <c r="A67" s="13">
        <v>46356</v>
      </c>
      <c r="B67" s="12"/>
    </row>
    <row r="68" spans="1:2" ht="19.2" collapsed="1" thickTop="1" thickBot="1" x14ac:dyDescent="0.35">
      <c r="A68" s="44" t="s">
        <v>39</v>
      </c>
      <c r="B68" s="44"/>
    </row>
    <row r="69" spans="1:2" ht="15.6" hidden="1" outlineLevel="1" thickTop="1" thickBot="1" x14ac:dyDescent="0.35">
      <c r="A69" s="16" t="s">
        <v>34</v>
      </c>
      <c r="B69" s="15" t="s">
        <v>32</v>
      </c>
    </row>
    <row r="70" spans="1:2" ht="15" hidden="1" outlineLevel="1" thickTop="1" x14ac:dyDescent="0.3">
      <c r="A70" s="14">
        <v>46357</v>
      </c>
      <c r="B70" s="17"/>
    </row>
    <row r="71" spans="1:2" hidden="1" outlineLevel="1" x14ac:dyDescent="0.3">
      <c r="A71" s="13">
        <v>46358</v>
      </c>
      <c r="B71" s="12"/>
    </row>
    <row r="72" spans="1:2" hidden="1" outlineLevel="1" x14ac:dyDescent="0.3">
      <c r="A72" s="13">
        <v>46359</v>
      </c>
      <c r="B72" s="12"/>
    </row>
    <row r="73" spans="1:2" hidden="1" outlineLevel="1" x14ac:dyDescent="0.3">
      <c r="A73" s="13">
        <v>46360</v>
      </c>
      <c r="B73" s="12"/>
    </row>
    <row r="74" spans="1:2" hidden="1" outlineLevel="1" x14ac:dyDescent="0.3">
      <c r="A74" s="13">
        <v>46361</v>
      </c>
      <c r="B74" s="12"/>
    </row>
    <row r="75" spans="1:2" hidden="1" outlineLevel="1" x14ac:dyDescent="0.3">
      <c r="A75" s="13">
        <v>46362</v>
      </c>
      <c r="B75" s="12"/>
    </row>
    <row r="76" spans="1:2" hidden="1" outlineLevel="1" x14ac:dyDescent="0.3">
      <c r="A76" s="13">
        <v>46363</v>
      </c>
      <c r="B76" s="12"/>
    </row>
    <row r="77" spans="1:2" hidden="1" outlineLevel="1" x14ac:dyDescent="0.3">
      <c r="A77" s="13">
        <v>46364</v>
      </c>
      <c r="B77" s="12"/>
    </row>
    <row r="78" spans="1:2" hidden="1" outlineLevel="1" x14ac:dyDescent="0.3">
      <c r="A78" s="13">
        <v>46365</v>
      </c>
      <c r="B78" s="12"/>
    </row>
    <row r="79" spans="1:2" hidden="1" outlineLevel="1" x14ac:dyDescent="0.3">
      <c r="A79" s="13">
        <v>46366</v>
      </c>
      <c r="B79" s="12"/>
    </row>
    <row r="80" spans="1:2" hidden="1" outlineLevel="1" x14ac:dyDescent="0.3">
      <c r="A80" s="13">
        <v>46367</v>
      </c>
      <c r="B80" s="12"/>
    </row>
    <row r="81" spans="1:2" hidden="1" outlineLevel="1" x14ac:dyDescent="0.3">
      <c r="A81" s="13">
        <v>46368</v>
      </c>
      <c r="B81" s="12"/>
    </row>
    <row r="82" spans="1:2" hidden="1" outlineLevel="1" x14ac:dyDescent="0.3">
      <c r="A82" s="13">
        <v>46369</v>
      </c>
      <c r="B82" s="12"/>
    </row>
    <row r="83" spans="1:2" hidden="1" outlineLevel="1" x14ac:dyDescent="0.3">
      <c r="A83" s="13">
        <v>46370</v>
      </c>
      <c r="B83" s="12"/>
    </row>
    <row r="84" spans="1:2" hidden="1" outlineLevel="1" x14ac:dyDescent="0.3">
      <c r="A84" s="13">
        <v>46371</v>
      </c>
      <c r="B84" s="12"/>
    </row>
    <row r="85" spans="1:2" hidden="1" outlineLevel="1" x14ac:dyDescent="0.3">
      <c r="A85" s="13">
        <v>46372</v>
      </c>
      <c r="B85" s="12"/>
    </row>
    <row r="86" spans="1:2" hidden="1" outlineLevel="1" x14ac:dyDescent="0.3">
      <c r="A86" s="13">
        <v>46373</v>
      </c>
      <c r="B86" s="12"/>
    </row>
    <row r="87" spans="1:2" hidden="1" outlineLevel="1" x14ac:dyDescent="0.3">
      <c r="A87" s="13">
        <v>46374</v>
      </c>
      <c r="B87" s="12"/>
    </row>
    <row r="88" spans="1:2" hidden="1" outlineLevel="1" x14ac:dyDescent="0.3">
      <c r="A88" s="13">
        <v>46375</v>
      </c>
      <c r="B88" s="12"/>
    </row>
    <row r="89" spans="1:2" hidden="1" outlineLevel="1" x14ac:dyDescent="0.3">
      <c r="A89" s="13">
        <v>46376</v>
      </c>
      <c r="B89" s="12"/>
    </row>
    <row r="90" spans="1:2" hidden="1" outlineLevel="1" x14ac:dyDescent="0.3">
      <c r="A90" s="13">
        <v>46377</v>
      </c>
      <c r="B90" s="12"/>
    </row>
    <row r="91" spans="1:2" hidden="1" outlineLevel="1" x14ac:dyDescent="0.3">
      <c r="A91" s="13">
        <v>46378</v>
      </c>
      <c r="B91" s="12"/>
    </row>
    <row r="92" spans="1:2" hidden="1" outlineLevel="1" x14ac:dyDescent="0.3">
      <c r="A92" s="13">
        <v>46382</v>
      </c>
      <c r="B92" s="12"/>
    </row>
    <row r="93" spans="1:2" hidden="1" outlineLevel="1" x14ac:dyDescent="0.3">
      <c r="A93" s="13">
        <v>46383</v>
      </c>
      <c r="B93" s="12"/>
    </row>
    <row r="94" spans="1:2" hidden="1" outlineLevel="1" x14ac:dyDescent="0.3">
      <c r="A94" s="13">
        <v>46384</v>
      </c>
      <c r="B94" s="12"/>
    </row>
    <row r="95" spans="1:2" hidden="1" outlineLevel="1" x14ac:dyDescent="0.3">
      <c r="A95" s="13">
        <v>46385</v>
      </c>
      <c r="B95" s="12"/>
    </row>
    <row r="96" spans="1:2" hidden="1" outlineLevel="1" x14ac:dyDescent="0.3">
      <c r="A96" s="13">
        <v>46386</v>
      </c>
      <c r="B96" s="12"/>
    </row>
    <row r="97" spans="1:2" ht="15" hidden="1" outlineLevel="1" thickBot="1" x14ac:dyDescent="0.35">
      <c r="A97" s="13">
        <v>46387</v>
      </c>
      <c r="B97" s="10"/>
    </row>
    <row r="98" spans="1:2" ht="19.2" collapsed="1" thickTop="1" thickBot="1" x14ac:dyDescent="0.35">
      <c r="A98" s="44" t="s">
        <v>38</v>
      </c>
      <c r="B98" s="44"/>
    </row>
    <row r="99" spans="1:2" ht="15.6" hidden="1" outlineLevel="1" thickTop="1" thickBot="1" x14ac:dyDescent="0.35">
      <c r="A99" s="16" t="s">
        <v>34</v>
      </c>
      <c r="B99" s="15" t="s">
        <v>32</v>
      </c>
    </row>
    <row r="100" spans="1:2" ht="15" hidden="1" outlineLevel="1" thickTop="1" x14ac:dyDescent="0.3">
      <c r="A100" s="14">
        <v>46388</v>
      </c>
      <c r="B100" s="17"/>
    </row>
    <row r="101" spans="1:2" hidden="1" outlineLevel="1" x14ac:dyDescent="0.3">
      <c r="A101" s="13">
        <v>46389</v>
      </c>
      <c r="B101" s="12"/>
    </row>
    <row r="102" spans="1:2" hidden="1" outlineLevel="1" x14ac:dyDescent="0.3">
      <c r="A102" s="13">
        <v>46390</v>
      </c>
      <c r="B102" s="12"/>
    </row>
    <row r="103" spans="1:2" hidden="1" outlineLevel="1" x14ac:dyDescent="0.3">
      <c r="A103" s="13">
        <v>46391</v>
      </c>
      <c r="B103" s="12"/>
    </row>
    <row r="104" spans="1:2" hidden="1" outlineLevel="1" x14ac:dyDescent="0.3">
      <c r="A104" s="13">
        <v>46392</v>
      </c>
      <c r="B104" s="12"/>
    </row>
    <row r="105" spans="1:2" hidden="1" outlineLevel="1" x14ac:dyDescent="0.3">
      <c r="A105" s="13">
        <v>46393</v>
      </c>
      <c r="B105" s="12"/>
    </row>
    <row r="106" spans="1:2" hidden="1" outlineLevel="1" x14ac:dyDescent="0.3">
      <c r="A106" s="13">
        <v>46394</v>
      </c>
      <c r="B106" s="12"/>
    </row>
    <row r="107" spans="1:2" hidden="1" outlineLevel="1" x14ac:dyDescent="0.3">
      <c r="A107" s="13">
        <v>46395</v>
      </c>
      <c r="B107" s="12"/>
    </row>
    <row r="108" spans="1:2" hidden="1" outlineLevel="1" x14ac:dyDescent="0.3">
      <c r="A108" s="13">
        <v>46396</v>
      </c>
      <c r="B108" s="12"/>
    </row>
    <row r="109" spans="1:2" hidden="1" outlineLevel="1" x14ac:dyDescent="0.3">
      <c r="A109" s="13">
        <v>46397</v>
      </c>
      <c r="B109" s="12"/>
    </row>
    <row r="110" spans="1:2" hidden="1" outlineLevel="1" x14ac:dyDescent="0.3">
      <c r="A110" s="13">
        <v>46398</v>
      </c>
      <c r="B110" s="12"/>
    </row>
    <row r="111" spans="1:2" hidden="1" outlineLevel="1" x14ac:dyDescent="0.3">
      <c r="A111" s="13">
        <v>46399</v>
      </c>
      <c r="B111" s="12"/>
    </row>
    <row r="112" spans="1:2" hidden="1" outlineLevel="1" x14ac:dyDescent="0.3">
      <c r="A112" s="13">
        <v>46400</v>
      </c>
      <c r="B112" s="12"/>
    </row>
    <row r="113" spans="1:2" hidden="1" outlineLevel="1" x14ac:dyDescent="0.3">
      <c r="A113" s="13">
        <v>46401</v>
      </c>
      <c r="B113" s="12"/>
    </row>
    <row r="114" spans="1:2" hidden="1" outlineLevel="1" x14ac:dyDescent="0.3">
      <c r="A114" s="13">
        <v>46402</v>
      </c>
      <c r="B114" s="12"/>
    </row>
    <row r="115" spans="1:2" hidden="1" outlineLevel="1" x14ac:dyDescent="0.3">
      <c r="A115" s="13">
        <v>46403</v>
      </c>
      <c r="B115" s="12"/>
    </row>
    <row r="116" spans="1:2" hidden="1" outlineLevel="1" x14ac:dyDescent="0.3">
      <c r="A116" s="13">
        <v>46404</v>
      </c>
      <c r="B116" s="12"/>
    </row>
    <row r="117" spans="1:2" hidden="1" outlineLevel="1" x14ac:dyDescent="0.3">
      <c r="A117" s="13">
        <v>46405</v>
      </c>
      <c r="B117" s="12"/>
    </row>
    <row r="118" spans="1:2" hidden="1" outlineLevel="1" x14ac:dyDescent="0.3">
      <c r="A118" s="13">
        <v>46406</v>
      </c>
      <c r="B118" s="12"/>
    </row>
    <row r="119" spans="1:2" hidden="1" outlineLevel="1" x14ac:dyDescent="0.3">
      <c r="A119" s="13">
        <v>46407</v>
      </c>
      <c r="B119" s="12"/>
    </row>
    <row r="120" spans="1:2" hidden="1" outlineLevel="1" x14ac:dyDescent="0.3">
      <c r="A120" s="13">
        <v>46408</v>
      </c>
      <c r="B120" s="12"/>
    </row>
    <row r="121" spans="1:2" hidden="1" outlineLevel="1" x14ac:dyDescent="0.3">
      <c r="A121" s="13">
        <v>46409</v>
      </c>
      <c r="B121" s="12"/>
    </row>
    <row r="122" spans="1:2" hidden="1" outlineLevel="1" x14ac:dyDescent="0.3">
      <c r="A122" s="13">
        <v>46410</v>
      </c>
      <c r="B122" s="12"/>
    </row>
    <row r="123" spans="1:2" hidden="1" outlineLevel="1" x14ac:dyDescent="0.3">
      <c r="A123" s="13">
        <v>46411</v>
      </c>
      <c r="B123" s="12"/>
    </row>
    <row r="124" spans="1:2" hidden="1" outlineLevel="1" x14ac:dyDescent="0.3">
      <c r="A124" s="13">
        <v>46412</v>
      </c>
      <c r="B124" s="12"/>
    </row>
    <row r="125" spans="1:2" hidden="1" outlineLevel="1" x14ac:dyDescent="0.3">
      <c r="A125" s="13">
        <v>46413</v>
      </c>
      <c r="B125" s="12"/>
    </row>
    <row r="126" spans="1:2" hidden="1" outlineLevel="1" x14ac:dyDescent="0.3">
      <c r="A126" s="13">
        <v>46414</v>
      </c>
      <c r="B126" s="12"/>
    </row>
    <row r="127" spans="1:2" hidden="1" outlineLevel="1" x14ac:dyDescent="0.3">
      <c r="A127" s="13">
        <v>46415</v>
      </c>
      <c r="B127" s="12"/>
    </row>
    <row r="128" spans="1:2" hidden="1" outlineLevel="1" x14ac:dyDescent="0.3">
      <c r="A128" s="13">
        <v>46416</v>
      </c>
      <c r="B128" s="12"/>
    </row>
    <row r="129" spans="1:2" hidden="1" outlineLevel="1" x14ac:dyDescent="0.3">
      <c r="A129" s="13">
        <v>46417</v>
      </c>
      <c r="B129" s="12"/>
    </row>
    <row r="130" spans="1:2" ht="15" hidden="1" outlineLevel="1" thickBot="1" x14ac:dyDescent="0.35">
      <c r="A130" s="13">
        <v>46418</v>
      </c>
      <c r="B130" s="12"/>
    </row>
    <row r="131" spans="1:2" ht="19.2" collapsed="1" thickTop="1" thickBot="1" x14ac:dyDescent="0.35">
      <c r="A131" s="44" t="s">
        <v>37</v>
      </c>
      <c r="B131" s="44"/>
    </row>
    <row r="132" spans="1:2" ht="15.6" hidden="1" outlineLevel="1" thickTop="1" thickBot="1" x14ac:dyDescent="0.35">
      <c r="A132" s="16" t="s">
        <v>34</v>
      </c>
      <c r="B132" s="15" t="s">
        <v>32</v>
      </c>
    </row>
    <row r="133" spans="1:2" ht="15" hidden="1" outlineLevel="1" thickTop="1" x14ac:dyDescent="0.3">
      <c r="A133" s="13">
        <v>46419</v>
      </c>
      <c r="B133" s="12"/>
    </row>
    <row r="134" spans="1:2" hidden="1" outlineLevel="1" x14ac:dyDescent="0.3">
      <c r="A134" s="13">
        <v>46420</v>
      </c>
      <c r="B134" s="12"/>
    </row>
    <row r="135" spans="1:2" hidden="1" outlineLevel="1" x14ac:dyDescent="0.3">
      <c r="A135" s="13">
        <v>46421</v>
      </c>
      <c r="B135" s="12"/>
    </row>
    <row r="136" spans="1:2" hidden="1" outlineLevel="1" x14ac:dyDescent="0.3">
      <c r="A136" s="13">
        <v>46426</v>
      </c>
      <c r="B136" s="12"/>
    </row>
    <row r="137" spans="1:2" hidden="1" outlineLevel="1" x14ac:dyDescent="0.3">
      <c r="A137" s="13">
        <v>46427</v>
      </c>
      <c r="B137" s="12"/>
    </row>
    <row r="138" spans="1:2" hidden="1" outlineLevel="1" x14ac:dyDescent="0.3">
      <c r="A138" s="13">
        <v>46428</v>
      </c>
      <c r="B138" s="12"/>
    </row>
    <row r="139" spans="1:2" hidden="1" outlineLevel="1" x14ac:dyDescent="0.3">
      <c r="A139" s="13">
        <v>46429</v>
      </c>
      <c r="B139" s="12"/>
    </row>
    <row r="140" spans="1:2" hidden="1" outlineLevel="1" x14ac:dyDescent="0.3">
      <c r="A140" s="13">
        <v>46430</v>
      </c>
      <c r="B140" s="12"/>
    </row>
    <row r="141" spans="1:2" hidden="1" outlineLevel="1" x14ac:dyDescent="0.3">
      <c r="A141" s="13">
        <v>46431</v>
      </c>
      <c r="B141" s="12"/>
    </row>
    <row r="142" spans="1:2" hidden="1" outlineLevel="1" x14ac:dyDescent="0.3">
      <c r="A142" s="13">
        <v>46432</v>
      </c>
      <c r="B142" s="12"/>
    </row>
    <row r="143" spans="1:2" hidden="1" outlineLevel="1" x14ac:dyDescent="0.3">
      <c r="A143" s="13">
        <v>46433</v>
      </c>
      <c r="B143" s="12"/>
    </row>
    <row r="144" spans="1:2" hidden="1" outlineLevel="1" x14ac:dyDescent="0.3">
      <c r="A144" s="13">
        <v>46434</v>
      </c>
      <c r="B144" s="12"/>
    </row>
    <row r="145" spans="1:2" hidden="1" outlineLevel="1" x14ac:dyDescent="0.3">
      <c r="A145" s="13">
        <v>46435</v>
      </c>
      <c r="B145" s="12"/>
    </row>
    <row r="146" spans="1:2" hidden="1" outlineLevel="1" x14ac:dyDescent="0.3">
      <c r="A146" s="13">
        <v>46436</v>
      </c>
      <c r="B146" s="12"/>
    </row>
    <row r="147" spans="1:2" hidden="1" outlineLevel="1" x14ac:dyDescent="0.3">
      <c r="A147" s="13">
        <v>46437</v>
      </c>
      <c r="B147" s="12"/>
    </row>
    <row r="148" spans="1:2" hidden="1" outlineLevel="1" x14ac:dyDescent="0.3">
      <c r="A148" s="13">
        <v>46438</v>
      </c>
      <c r="B148" s="12"/>
    </row>
    <row r="149" spans="1:2" hidden="1" outlineLevel="1" x14ac:dyDescent="0.3">
      <c r="A149" s="13">
        <v>46439</v>
      </c>
      <c r="B149" s="12"/>
    </row>
    <row r="150" spans="1:2" hidden="1" outlineLevel="1" x14ac:dyDescent="0.3">
      <c r="A150" s="13">
        <v>46440</v>
      </c>
      <c r="B150" s="12"/>
    </row>
    <row r="151" spans="1:2" hidden="1" outlineLevel="1" x14ac:dyDescent="0.3">
      <c r="A151" s="13">
        <v>46441</v>
      </c>
      <c r="B151" s="12"/>
    </row>
    <row r="152" spans="1:2" hidden="1" outlineLevel="1" x14ac:dyDescent="0.3">
      <c r="A152" s="13">
        <v>46442</v>
      </c>
      <c r="B152" s="12"/>
    </row>
    <row r="153" spans="1:2" hidden="1" outlineLevel="1" x14ac:dyDescent="0.3">
      <c r="A153" s="13">
        <v>46443</v>
      </c>
      <c r="B153" s="12"/>
    </row>
    <row r="154" spans="1:2" hidden="1" outlineLevel="1" x14ac:dyDescent="0.3">
      <c r="A154" s="13">
        <v>46444</v>
      </c>
      <c r="B154" s="12"/>
    </row>
    <row r="155" spans="1:2" hidden="1" outlineLevel="1" x14ac:dyDescent="0.3">
      <c r="A155" s="13">
        <v>46445</v>
      </c>
      <c r="B155" s="12"/>
    </row>
    <row r="156" spans="1:2" ht="15" hidden="1" outlineLevel="1" thickBot="1" x14ac:dyDescent="0.35">
      <c r="A156" s="13">
        <v>46446</v>
      </c>
      <c r="B156" s="12"/>
    </row>
    <row r="157" spans="1:2" ht="19.2" collapsed="1" thickTop="1" thickBot="1" x14ac:dyDescent="0.35">
      <c r="A157" s="44" t="s">
        <v>36</v>
      </c>
      <c r="B157" s="44"/>
    </row>
    <row r="158" spans="1:2" ht="15.6" hidden="1" outlineLevel="1" thickTop="1" thickBot="1" x14ac:dyDescent="0.35">
      <c r="A158" s="16" t="s">
        <v>34</v>
      </c>
      <c r="B158" s="15" t="s">
        <v>32</v>
      </c>
    </row>
    <row r="159" spans="1:2" ht="15" hidden="1" outlineLevel="1" thickTop="1" x14ac:dyDescent="0.3">
      <c r="A159" s="14">
        <v>46447</v>
      </c>
      <c r="B159" s="17"/>
    </row>
    <row r="160" spans="1:2" hidden="1" outlineLevel="1" x14ac:dyDescent="0.3">
      <c r="A160" s="13">
        <v>46448</v>
      </c>
      <c r="B160" s="12"/>
    </row>
    <row r="161" spans="1:2" hidden="1" outlineLevel="1" x14ac:dyDescent="0.3">
      <c r="A161" s="13">
        <v>46449</v>
      </c>
      <c r="B161" s="12"/>
    </row>
    <row r="162" spans="1:2" hidden="1" outlineLevel="1" x14ac:dyDescent="0.3">
      <c r="A162" s="13">
        <v>46450</v>
      </c>
      <c r="B162" s="12"/>
    </row>
    <row r="163" spans="1:2" hidden="1" outlineLevel="1" x14ac:dyDescent="0.3">
      <c r="A163" s="13">
        <v>46451</v>
      </c>
      <c r="B163" s="12"/>
    </row>
    <row r="164" spans="1:2" hidden="1" outlineLevel="1" x14ac:dyDescent="0.3">
      <c r="A164" s="13">
        <v>46452</v>
      </c>
      <c r="B164" s="12"/>
    </row>
    <row r="165" spans="1:2" hidden="1" outlineLevel="1" x14ac:dyDescent="0.3">
      <c r="A165" s="13">
        <v>46453</v>
      </c>
      <c r="B165" s="12"/>
    </row>
    <row r="166" spans="1:2" hidden="1" outlineLevel="1" x14ac:dyDescent="0.3">
      <c r="A166" s="13">
        <v>46454</v>
      </c>
      <c r="B166" s="12"/>
    </row>
    <row r="167" spans="1:2" hidden="1" outlineLevel="1" x14ac:dyDescent="0.3">
      <c r="A167" s="13">
        <v>46455</v>
      </c>
      <c r="B167" s="12"/>
    </row>
    <row r="168" spans="1:2" hidden="1" outlineLevel="1" x14ac:dyDescent="0.3">
      <c r="A168" s="13">
        <v>46456</v>
      </c>
      <c r="B168" s="12"/>
    </row>
    <row r="169" spans="1:2" hidden="1" outlineLevel="1" x14ac:dyDescent="0.3">
      <c r="A169" s="13">
        <v>46457</v>
      </c>
      <c r="B169" s="12"/>
    </row>
    <row r="170" spans="1:2" hidden="1" outlineLevel="1" x14ac:dyDescent="0.3">
      <c r="A170" s="13">
        <v>46458</v>
      </c>
      <c r="B170" s="12"/>
    </row>
    <row r="171" spans="1:2" hidden="1" outlineLevel="1" x14ac:dyDescent="0.3">
      <c r="A171" s="13">
        <v>46459</v>
      </c>
      <c r="B171" s="12"/>
    </row>
    <row r="172" spans="1:2" hidden="1" outlineLevel="1" x14ac:dyDescent="0.3">
      <c r="A172" s="13">
        <v>46460</v>
      </c>
      <c r="B172" s="12"/>
    </row>
    <row r="173" spans="1:2" hidden="1" outlineLevel="1" x14ac:dyDescent="0.3">
      <c r="A173" s="13">
        <v>46461</v>
      </c>
      <c r="B173" s="12"/>
    </row>
    <row r="174" spans="1:2" hidden="1" outlineLevel="1" x14ac:dyDescent="0.3">
      <c r="A174" s="13">
        <v>46462</v>
      </c>
      <c r="B174" s="12"/>
    </row>
    <row r="175" spans="1:2" hidden="1" outlineLevel="1" x14ac:dyDescent="0.3">
      <c r="A175" s="13">
        <v>46463</v>
      </c>
      <c r="B175" s="12"/>
    </row>
    <row r="176" spans="1:2" hidden="1" outlineLevel="1" x14ac:dyDescent="0.3">
      <c r="A176" s="13">
        <v>46464</v>
      </c>
      <c r="B176" s="12"/>
    </row>
    <row r="177" spans="1:2" hidden="1" outlineLevel="1" x14ac:dyDescent="0.3">
      <c r="A177" s="13">
        <v>46465</v>
      </c>
      <c r="B177" s="12"/>
    </row>
    <row r="178" spans="1:2" hidden="1" outlineLevel="1" x14ac:dyDescent="0.3">
      <c r="A178" s="13">
        <v>46466</v>
      </c>
      <c r="B178" s="12"/>
    </row>
    <row r="179" spans="1:2" hidden="1" outlineLevel="1" x14ac:dyDescent="0.3">
      <c r="A179" s="13">
        <v>46467</v>
      </c>
      <c r="B179" s="12"/>
    </row>
    <row r="180" spans="1:2" hidden="1" outlineLevel="1" x14ac:dyDescent="0.3">
      <c r="A180" s="13">
        <v>46468</v>
      </c>
      <c r="B180" s="12"/>
    </row>
    <row r="181" spans="1:2" hidden="1" outlineLevel="1" x14ac:dyDescent="0.3">
      <c r="A181" s="13">
        <v>46469</v>
      </c>
      <c r="B181" s="12"/>
    </row>
    <row r="182" spans="1:2" hidden="1" outlineLevel="1" x14ac:dyDescent="0.3">
      <c r="A182" s="13">
        <v>46470</v>
      </c>
      <c r="B182" s="12"/>
    </row>
    <row r="183" spans="1:2" hidden="1" outlineLevel="1" x14ac:dyDescent="0.3">
      <c r="A183" s="13">
        <v>46471</v>
      </c>
      <c r="B183" s="12"/>
    </row>
    <row r="184" spans="1:2" hidden="1" outlineLevel="1" x14ac:dyDescent="0.3">
      <c r="A184" s="13">
        <v>46472</v>
      </c>
      <c r="B184" s="12"/>
    </row>
    <row r="185" spans="1:2" hidden="1" outlineLevel="1" x14ac:dyDescent="0.3">
      <c r="A185" s="13">
        <v>46473</v>
      </c>
      <c r="B185" s="12"/>
    </row>
    <row r="186" spans="1:2" hidden="1" outlineLevel="1" x14ac:dyDescent="0.3">
      <c r="A186" s="13">
        <v>46474</v>
      </c>
      <c r="B186" s="12"/>
    </row>
    <row r="187" spans="1:2" hidden="1" outlineLevel="1" x14ac:dyDescent="0.3">
      <c r="A187" s="13">
        <v>46475</v>
      </c>
      <c r="B187" s="12"/>
    </row>
    <row r="188" spans="1:2" hidden="1" outlineLevel="1" x14ac:dyDescent="0.3">
      <c r="A188" s="13">
        <v>46476</v>
      </c>
      <c r="B188" s="12"/>
    </row>
    <row r="189" spans="1:2" ht="15" hidden="1" outlineLevel="1" thickBot="1" x14ac:dyDescent="0.35">
      <c r="A189" s="13">
        <v>46477</v>
      </c>
      <c r="B189" s="12"/>
    </row>
    <row r="190" spans="1:2" ht="19.2" collapsed="1" thickTop="1" thickBot="1" x14ac:dyDescent="0.35">
      <c r="A190" s="44" t="s">
        <v>35</v>
      </c>
      <c r="B190" s="44"/>
    </row>
    <row r="191" spans="1:2" ht="15.6" hidden="1" outlineLevel="1" thickTop="1" thickBot="1" x14ac:dyDescent="0.35">
      <c r="A191" s="16" t="s">
        <v>34</v>
      </c>
      <c r="B191" s="15" t="s">
        <v>32</v>
      </c>
    </row>
    <row r="192" spans="1:2" ht="15" hidden="1" outlineLevel="1" thickTop="1" x14ac:dyDescent="0.3">
      <c r="A192" s="14">
        <v>46478</v>
      </c>
      <c r="B192" s="12"/>
    </row>
    <row r="193" spans="1:2" hidden="1" outlineLevel="1" x14ac:dyDescent="0.3">
      <c r="A193" s="13">
        <v>46479</v>
      </c>
      <c r="B193" s="12"/>
    </row>
    <row r="194" spans="1:2" hidden="1" outlineLevel="1" x14ac:dyDescent="0.3">
      <c r="A194" s="13">
        <v>46480</v>
      </c>
      <c r="B194" s="12"/>
    </row>
    <row r="195" spans="1:2" hidden="1" outlineLevel="1" x14ac:dyDescent="0.3">
      <c r="A195" s="13">
        <v>46481</v>
      </c>
      <c r="B195" s="12"/>
    </row>
    <row r="196" spans="1:2" hidden="1" outlineLevel="1" x14ac:dyDescent="0.3">
      <c r="A196" s="13">
        <v>46482</v>
      </c>
      <c r="B196" s="12"/>
    </row>
    <row r="197" spans="1:2" hidden="1" outlineLevel="1" x14ac:dyDescent="0.3">
      <c r="A197" s="13">
        <v>46483</v>
      </c>
      <c r="B197" s="12"/>
    </row>
    <row r="198" spans="1:2" hidden="1" outlineLevel="1" x14ac:dyDescent="0.3">
      <c r="A198" s="13">
        <v>46484</v>
      </c>
      <c r="B198" s="12"/>
    </row>
    <row r="199" spans="1:2" hidden="1" outlineLevel="1" x14ac:dyDescent="0.3">
      <c r="A199" s="13">
        <v>46485</v>
      </c>
      <c r="B199" s="12"/>
    </row>
    <row r="200" spans="1:2" hidden="1" outlineLevel="1" x14ac:dyDescent="0.3">
      <c r="A200" s="13">
        <v>46486</v>
      </c>
      <c r="B200" s="12"/>
    </row>
    <row r="201" spans="1:2" ht="15" hidden="1" outlineLevel="1" thickBot="1" x14ac:dyDescent="0.35">
      <c r="A201" s="11">
        <v>46487</v>
      </c>
      <c r="B201" s="10"/>
    </row>
    <row r="202" spans="1:2" ht="15" collapsed="1" thickTop="1" x14ac:dyDescent="0.3"/>
  </sheetData>
  <mergeCells count="8">
    <mergeCell ref="A190:B190"/>
    <mergeCell ref="A157:B157"/>
    <mergeCell ref="A1:B1"/>
    <mergeCell ref="A38:B38"/>
    <mergeCell ref="A68:B68"/>
    <mergeCell ref="A98:B98"/>
    <mergeCell ref="A131:B131"/>
    <mergeCell ref="A5:B5"/>
  </mergeCells>
  <hyperlinks>
    <hyperlink ref="C1" location="Index!A1" display="HOME" xr:uid="{1F834EA1-5F0C-42FB-94A3-79B25BEBCBD8}"/>
    <hyperlink ref="B3" location="'Standings (9-29-26)'!A1" display="Standings" xr:uid="{D42274C5-CB0C-4C2D-9816-D034C65D88F8}"/>
    <hyperlink ref="B4" location="'Standings (9-30-26)'!A1" display="Standings" xr:uid="{40718CFA-4A04-46AE-83E9-EC4F6E2A98B2}"/>
    <hyperlink ref="B7" location="'Standings (10-1-26)'!A1" display="Standings" xr:uid="{89F68784-2637-4125-8EA4-D75C99328E9C}"/>
    <hyperlink ref="B8" location="'Standings (10-2-26)'!A1" display="Standings" xr:uid="{F5BEFD7F-8176-4E3F-BF40-F40DE279DC4C}"/>
    <hyperlink ref="B9" location="'Standings (10-3-26)'!A1" display="Standings" xr:uid="{5A479205-8170-4706-BE4F-78DC34867BC5}"/>
    <hyperlink ref="B10" location="'Standings (10-4-26)'!A1" display="Standings" xr:uid="{61B09360-B51D-4804-BE37-945504D71781}"/>
    <hyperlink ref="B11" location="'Standings (10-5-26)'!A1" display="Standings" xr:uid="{F3D6B117-7FFE-4813-B9E2-3359553B2BD8}"/>
    <hyperlink ref="B12" location="'Standings (10-6-26)'!A1" display="Standings" xr:uid="{6FE882C9-714E-45E4-951D-9B76F8B7376B}"/>
    <hyperlink ref="B13" location="'Standings (10-7-26)'!A1" display="Standings" xr:uid="{13134A14-FAFC-4914-8B02-B2CCB655B47A}"/>
    <hyperlink ref="B14" location="'Standings (10-8-26)'!A1" display="Standings" xr:uid="{B0BC385E-12A3-490B-9FE6-1CCDB55AD810}"/>
    <hyperlink ref="B15" location="'Standings (10-9-26)'!A1" display="Standings" xr:uid="{BC3E3D8A-CDD5-4951-95DA-ED3432D6C8F9}"/>
    <hyperlink ref="B16" location="'Standings (10-10-26)'!A1" display="Standings" xr:uid="{51EE2D52-D5EE-49C5-AA41-7610895DFAD3}"/>
    <hyperlink ref="B17" location="'Standings (10-11-26)'!A1" display="Standings" xr:uid="{0C4F0BC2-220A-4DDA-86E1-9048D7773429}"/>
    <hyperlink ref="B18" location="'Standings (10-12-26)'!A1" display="Standings" xr:uid="{48DC1F97-03E5-480F-9CCE-FB12B5D50707}"/>
    <hyperlink ref="B19" location="'Standings (10-13-26)'!A1" display="Standings" xr:uid="{D4990A16-95BA-4139-8872-B329463E8F33}"/>
    <hyperlink ref="B20" location="'Standings (10-14-26)'!A1" display="Standings" xr:uid="{C458471D-4BB6-4E25-8390-DCC27984051F}"/>
    <hyperlink ref="B21" location="'Standings (10-15-26)'!A1" display="Standings" xr:uid="{35BB5775-14BC-4E0F-86A7-5ED0AD10B364}"/>
    <hyperlink ref="B22" location="'Standings (10-16-26)'!A1" display="Standings" xr:uid="{0E10BD11-C61C-4198-A8FC-EED6EDBDAC8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B095F3-7E95-47DB-A6BA-41840D9C353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92</v>
      </c>
      <c r="L7" s="1" t="s">
        <v>92</v>
      </c>
      <c r="M7" s="1" t="s">
        <v>92</v>
      </c>
      <c r="N7" s="1" t="s">
        <v>92</v>
      </c>
      <c r="O7" s="31">
        <v>0</v>
      </c>
      <c r="P7" s="20">
        <v>0</v>
      </c>
      <c r="Q7" s="30">
        <v>0</v>
      </c>
      <c r="R7" s="29" t="s">
        <v>94</v>
      </c>
      <c r="S7" s="28" t="s">
        <v>92</v>
      </c>
    </row>
    <row r="8" spans="1:20" x14ac:dyDescent="0.3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4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95</v>
      </c>
      <c r="N11" s="1" t="s">
        <v>95</v>
      </c>
      <c r="O11" s="31">
        <v>2</v>
      </c>
      <c r="P11" s="20">
        <v>3</v>
      </c>
      <c r="Q11" s="30">
        <v>-1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1</v>
      </c>
      <c r="C14" s="1">
        <v>0</v>
      </c>
      <c r="D14" s="1">
        <v>0</v>
      </c>
      <c r="E14" s="20">
        <v>1</v>
      </c>
      <c r="F14" s="33">
        <v>1</v>
      </c>
      <c r="G14" s="20">
        <v>0</v>
      </c>
      <c r="H14" s="20">
        <v>0</v>
      </c>
      <c r="I14" s="20">
        <v>0</v>
      </c>
      <c r="J14" s="20">
        <v>0</v>
      </c>
      <c r="K14" s="29" t="s">
        <v>97</v>
      </c>
      <c r="L14" s="1" t="s">
        <v>92</v>
      </c>
      <c r="M14" s="1" t="s">
        <v>92</v>
      </c>
      <c r="N14" s="1" t="s">
        <v>97</v>
      </c>
      <c r="O14" s="31">
        <v>0</v>
      </c>
      <c r="P14" s="20">
        <v>1</v>
      </c>
      <c r="Q14" s="30">
        <v>-1</v>
      </c>
      <c r="R14" s="29" t="s">
        <v>96</v>
      </c>
      <c r="S14" s="28" t="s">
        <v>97</v>
      </c>
    </row>
    <row r="15" spans="1:20" x14ac:dyDescent="0.3">
      <c r="A15" s="32" t="s">
        <v>23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92</v>
      </c>
      <c r="L15" s="1" t="s">
        <v>92</v>
      </c>
      <c r="M15" s="1" t="s">
        <v>92</v>
      </c>
      <c r="N15" s="1" t="s">
        <v>92</v>
      </c>
      <c r="O15" s="31">
        <v>0</v>
      </c>
      <c r="P15" s="20">
        <v>0</v>
      </c>
      <c r="Q15" s="30">
        <v>0</v>
      </c>
      <c r="R15" s="29" t="s">
        <v>94</v>
      </c>
      <c r="S15" s="28" t="s">
        <v>92</v>
      </c>
    </row>
    <row r="16" spans="1:20" x14ac:dyDescent="0.3">
      <c r="A16" s="32" t="s">
        <v>14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13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12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0</v>
      </c>
      <c r="P18" s="20">
        <v>3</v>
      </c>
      <c r="Q18" s="30">
        <v>-3</v>
      </c>
      <c r="R18" s="29" t="s">
        <v>96</v>
      </c>
      <c r="S18" s="28" t="s">
        <v>95</v>
      </c>
    </row>
    <row r="19" spans="1:19" x14ac:dyDescent="0.3">
      <c r="A19" s="32" t="s">
        <v>10</v>
      </c>
      <c r="B19" s="1">
        <v>0</v>
      </c>
      <c r="C19" s="1">
        <v>0</v>
      </c>
      <c r="D19" s="1">
        <v>0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92</v>
      </c>
      <c r="M19" s="1" t="s">
        <v>92</v>
      </c>
      <c r="N19" s="1" t="s">
        <v>92</v>
      </c>
      <c r="O19" s="31">
        <v>0</v>
      </c>
      <c r="P19" s="20">
        <v>0</v>
      </c>
      <c r="Q19" s="30">
        <v>0</v>
      </c>
      <c r="R19" s="29" t="s">
        <v>94</v>
      </c>
      <c r="S19" s="28" t="s">
        <v>92</v>
      </c>
    </row>
    <row r="20" spans="1:19" x14ac:dyDescent="0.3">
      <c r="A20" s="32" t="s">
        <v>9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92</v>
      </c>
      <c r="M20" s="1" t="s">
        <v>92</v>
      </c>
      <c r="N20" s="1" t="s">
        <v>92</v>
      </c>
      <c r="O20" s="31">
        <v>0</v>
      </c>
      <c r="P20" s="20">
        <v>0</v>
      </c>
      <c r="Q20" s="30">
        <v>0</v>
      </c>
      <c r="R20" s="29" t="s">
        <v>94</v>
      </c>
      <c r="S20" s="28" t="s">
        <v>92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v>1</v>
      </c>
      <c r="C25" s="1">
        <v>0</v>
      </c>
      <c r="D25" s="1">
        <v>1</v>
      </c>
      <c r="E25" s="20">
        <v>0</v>
      </c>
      <c r="F25" s="30">
        <v>0</v>
      </c>
      <c r="G25" s="20">
        <v>0</v>
      </c>
      <c r="H25" s="20">
        <v>0</v>
      </c>
      <c r="I25" s="20">
        <v>0</v>
      </c>
      <c r="J25" s="20">
        <v>0</v>
      </c>
      <c r="K25" s="29" t="s">
        <v>92</v>
      </c>
      <c r="L25" s="1" t="s">
        <v>95</v>
      </c>
      <c r="M25" s="1" t="s">
        <v>92</v>
      </c>
      <c r="N25" s="1" t="s">
        <v>95</v>
      </c>
      <c r="O25" s="31">
        <v>2</v>
      </c>
      <c r="P25" s="20">
        <v>5</v>
      </c>
      <c r="Q25" s="30">
        <v>-3</v>
      </c>
      <c r="R25" s="29" t="s">
        <v>96</v>
      </c>
      <c r="S25" s="28" t="s">
        <v>95</v>
      </c>
    </row>
    <row r="26" spans="1:19" x14ac:dyDescent="0.3">
      <c r="A26" s="32" t="s">
        <v>24</v>
      </c>
      <c r="B26" s="1">
        <v>0</v>
      </c>
      <c r="C26" s="1">
        <v>0</v>
      </c>
      <c r="D26" s="1">
        <v>0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92</v>
      </c>
      <c r="M26" s="1" t="s">
        <v>92</v>
      </c>
      <c r="N26" s="1" t="s">
        <v>92</v>
      </c>
      <c r="O26" s="31">
        <v>0</v>
      </c>
      <c r="P26" s="20">
        <v>0</v>
      </c>
      <c r="Q26" s="30">
        <v>0</v>
      </c>
      <c r="R26" s="29" t="s">
        <v>94</v>
      </c>
      <c r="S26" s="28" t="s">
        <v>92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2CFCBA-DD44-4E9A-B30C-F5F8F9C9AAA9}"/>
  </hyperlinks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191D0C-25C1-4CD3-A40A-D8F086A318B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91</v>
      </c>
      <c r="L4" s="40" t="s">
        <v>92</v>
      </c>
      <c r="M4" s="40" t="s">
        <v>92</v>
      </c>
      <c r="N4" s="40" t="s">
        <v>91</v>
      </c>
      <c r="O4" s="39">
        <v>3</v>
      </c>
      <c r="P4" s="38">
        <v>0</v>
      </c>
      <c r="Q4" s="33">
        <v>3</v>
      </c>
      <c r="R4" s="37" t="s">
        <v>93</v>
      </c>
      <c r="S4" s="36" t="s">
        <v>91</v>
      </c>
    </row>
    <row r="5" spans="1:20" x14ac:dyDescent="0.3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91</v>
      </c>
      <c r="M5" s="1" t="s">
        <v>92</v>
      </c>
      <c r="N5" s="1" t="s">
        <v>91</v>
      </c>
      <c r="O5" s="31">
        <v>1</v>
      </c>
      <c r="P5" s="20">
        <v>0</v>
      </c>
      <c r="Q5" s="30">
        <v>1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92</v>
      </c>
      <c r="M8" s="1" t="s">
        <v>92</v>
      </c>
      <c r="N8" s="1" t="s">
        <v>92</v>
      </c>
      <c r="O8" s="31">
        <v>0</v>
      </c>
      <c r="P8" s="20">
        <v>0</v>
      </c>
      <c r="Q8" s="30">
        <v>0</v>
      </c>
      <c r="R8" s="29" t="s">
        <v>94</v>
      </c>
      <c r="S8" s="28" t="s">
        <v>92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92</v>
      </c>
      <c r="M11" s="1" t="s">
        <v>92</v>
      </c>
      <c r="N11" s="1" t="s">
        <v>92</v>
      </c>
      <c r="O11" s="31">
        <v>0</v>
      </c>
      <c r="P11" s="20">
        <v>0</v>
      </c>
      <c r="Q11" s="30">
        <v>0</v>
      </c>
      <c r="R11" s="29" t="s">
        <v>94</v>
      </c>
      <c r="S11" s="28" t="s">
        <v>92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92</v>
      </c>
      <c r="L14" s="1" t="s">
        <v>91</v>
      </c>
      <c r="M14" s="1" t="s">
        <v>91</v>
      </c>
      <c r="N14" s="1" t="s">
        <v>91</v>
      </c>
      <c r="O14" s="31">
        <v>7</v>
      </c>
      <c r="P14" s="20">
        <v>0</v>
      </c>
      <c r="Q14" s="30">
        <v>7</v>
      </c>
      <c r="R14" s="29" t="s">
        <v>93</v>
      </c>
      <c r="S14" s="28" t="s">
        <v>91</v>
      </c>
    </row>
    <row r="15" spans="1:20" x14ac:dyDescent="0.3">
      <c r="A15" s="32" t="s">
        <v>26</v>
      </c>
      <c r="B15" s="1">
        <v>1</v>
      </c>
      <c r="C15" s="1">
        <v>0</v>
      </c>
      <c r="D15" s="1">
        <v>0</v>
      </c>
      <c r="E15" s="20">
        <v>1</v>
      </c>
      <c r="F15" s="30">
        <v>1</v>
      </c>
      <c r="G15" s="20">
        <v>0</v>
      </c>
      <c r="H15" s="20">
        <v>0</v>
      </c>
      <c r="I15" s="20">
        <v>0</v>
      </c>
      <c r="J15" s="20">
        <v>0</v>
      </c>
      <c r="K15" s="29" t="s">
        <v>97</v>
      </c>
      <c r="L15" s="1" t="s">
        <v>92</v>
      </c>
      <c r="M15" s="1" t="s">
        <v>92</v>
      </c>
      <c r="N15" s="1" t="s">
        <v>97</v>
      </c>
      <c r="O15" s="31">
        <v>0</v>
      </c>
      <c r="P15" s="20">
        <v>1</v>
      </c>
      <c r="Q15" s="30">
        <v>-1</v>
      </c>
      <c r="R15" s="29" t="s">
        <v>96</v>
      </c>
      <c r="S15" s="28" t="s">
        <v>97</v>
      </c>
    </row>
    <row r="16" spans="1:20" x14ac:dyDescent="0.3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92</v>
      </c>
      <c r="L16" s="1" t="s">
        <v>92</v>
      </c>
      <c r="M16" s="1" t="s">
        <v>92</v>
      </c>
      <c r="N16" s="1" t="s">
        <v>92</v>
      </c>
      <c r="O16" s="31">
        <v>0</v>
      </c>
      <c r="P16" s="20">
        <v>0</v>
      </c>
      <c r="Q16" s="30">
        <v>0</v>
      </c>
      <c r="R16" s="29" t="s">
        <v>94</v>
      </c>
      <c r="S16" s="28" t="s">
        <v>92</v>
      </c>
    </row>
    <row r="17" spans="1:19" x14ac:dyDescent="0.3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92</v>
      </c>
      <c r="L17" s="1" t="s">
        <v>92</v>
      </c>
      <c r="M17" s="1" t="s">
        <v>92</v>
      </c>
      <c r="N17" s="1" t="s">
        <v>92</v>
      </c>
      <c r="O17" s="31">
        <v>0</v>
      </c>
      <c r="P17" s="20">
        <v>0</v>
      </c>
      <c r="Q17" s="30">
        <v>0</v>
      </c>
      <c r="R17" s="29" t="s">
        <v>94</v>
      </c>
      <c r="S17" s="28" t="s">
        <v>92</v>
      </c>
    </row>
    <row r="18" spans="1:19" x14ac:dyDescent="0.3">
      <c r="A18" s="32" t="s">
        <v>13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92</v>
      </c>
      <c r="L18" s="1" t="s">
        <v>95</v>
      </c>
      <c r="M18" s="1" t="s">
        <v>92</v>
      </c>
      <c r="N18" s="1" t="s">
        <v>95</v>
      </c>
      <c r="O18" s="31">
        <v>1</v>
      </c>
      <c r="P18" s="20">
        <v>2</v>
      </c>
      <c r="Q18" s="30">
        <v>-1</v>
      </c>
      <c r="R18" s="29" t="s">
        <v>96</v>
      </c>
      <c r="S18" s="28" t="s">
        <v>95</v>
      </c>
    </row>
    <row r="19" spans="1:19" x14ac:dyDescent="0.3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92</v>
      </c>
      <c r="L19" s="1" t="s">
        <v>95</v>
      </c>
      <c r="M19" s="1" t="s">
        <v>92</v>
      </c>
      <c r="N19" s="1" t="s">
        <v>95</v>
      </c>
      <c r="O19" s="31">
        <v>0</v>
      </c>
      <c r="P19" s="20">
        <v>3</v>
      </c>
      <c r="Q19" s="30">
        <v>-3</v>
      </c>
      <c r="R19" s="29" t="s">
        <v>96</v>
      </c>
      <c r="S19" s="28" t="s">
        <v>95</v>
      </c>
    </row>
    <row r="20" spans="1:19" x14ac:dyDescent="0.3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92</v>
      </c>
      <c r="M20" s="1" t="s">
        <v>95</v>
      </c>
      <c r="N20" s="1" t="s">
        <v>95</v>
      </c>
      <c r="O20" s="31">
        <v>0</v>
      </c>
      <c r="P20" s="20">
        <v>7</v>
      </c>
      <c r="Q20" s="30">
        <v>-7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92</v>
      </c>
      <c r="L26" s="1" t="s">
        <v>95</v>
      </c>
      <c r="M26" s="1" t="s">
        <v>92</v>
      </c>
      <c r="N26" s="1" t="s">
        <v>95</v>
      </c>
      <c r="O26" s="31">
        <v>2</v>
      </c>
      <c r="P26" s="20">
        <v>5</v>
      </c>
      <c r="Q26" s="30">
        <v>-3</v>
      </c>
      <c r="R26" s="29" t="s">
        <v>96</v>
      </c>
      <c r="S26" s="28" t="s">
        <v>95</v>
      </c>
    </row>
    <row r="27" spans="1:19" x14ac:dyDescent="0.3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92</v>
      </c>
      <c r="L27" s="1" t="s">
        <v>92</v>
      </c>
      <c r="M27" s="1" t="s">
        <v>92</v>
      </c>
      <c r="N27" s="1" t="s">
        <v>92</v>
      </c>
      <c r="O27" s="31">
        <v>0</v>
      </c>
      <c r="P27" s="20">
        <v>0</v>
      </c>
      <c r="Q27" s="30">
        <v>0</v>
      </c>
      <c r="R27" s="29" t="s">
        <v>94</v>
      </c>
      <c r="S27" s="28" t="s">
        <v>92</v>
      </c>
    </row>
    <row r="28" spans="1:19" x14ac:dyDescent="0.3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92</v>
      </c>
      <c r="M28" s="1" t="s">
        <v>92</v>
      </c>
      <c r="N28" s="1" t="s">
        <v>92</v>
      </c>
      <c r="O28" s="31">
        <v>0</v>
      </c>
      <c r="P28" s="20">
        <v>0</v>
      </c>
      <c r="Q28" s="30">
        <v>0</v>
      </c>
      <c r="R28" s="29" t="s">
        <v>94</v>
      </c>
      <c r="S28" s="28" t="s">
        <v>92</v>
      </c>
    </row>
    <row r="29" spans="1:19" x14ac:dyDescent="0.3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92</v>
      </c>
      <c r="M30" s="1" t="s">
        <v>92</v>
      </c>
      <c r="N30" s="1" t="s">
        <v>92</v>
      </c>
      <c r="O30" s="31">
        <v>0</v>
      </c>
      <c r="P30" s="20">
        <v>0</v>
      </c>
      <c r="Q30" s="30">
        <v>0</v>
      </c>
      <c r="R30" s="29" t="s">
        <v>94</v>
      </c>
      <c r="S30" s="28" t="s">
        <v>92</v>
      </c>
    </row>
    <row r="31" spans="1:19" x14ac:dyDescent="0.3">
      <c r="A31" s="32" t="s">
        <v>89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1</v>
      </c>
      <c r="I35" s="20">
        <v>0</v>
      </c>
      <c r="J35" s="20">
        <v>0</v>
      </c>
      <c r="K35" s="29" t="s">
        <v>92</v>
      </c>
      <c r="L35" s="1" t="s">
        <v>91</v>
      </c>
      <c r="M35" s="1" t="s">
        <v>91</v>
      </c>
      <c r="N35" s="1" t="s">
        <v>91</v>
      </c>
      <c r="O35" s="31">
        <v>6</v>
      </c>
      <c r="P35" s="20">
        <v>5</v>
      </c>
      <c r="Q35" s="30">
        <v>1</v>
      </c>
      <c r="R35" s="29" t="s">
        <v>93</v>
      </c>
      <c r="S35" s="28" t="s">
        <v>91</v>
      </c>
    </row>
    <row r="36" spans="1:19" x14ac:dyDescent="0.3">
      <c r="A36" s="32" t="s">
        <v>2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91</v>
      </c>
      <c r="O36" s="31">
        <v>5</v>
      </c>
      <c r="P36" s="20">
        <v>2</v>
      </c>
      <c r="Q36" s="30">
        <v>3</v>
      </c>
      <c r="R36" s="29" t="s">
        <v>93</v>
      </c>
      <c r="S36" s="28" t="s">
        <v>91</v>
      </c>
    </row>
    <row r="37" spans="1:19" x14ac:dyDescent="0.3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0</v>
      </c>
      <c r="K37" s="29" t="s">
        <v>97</v>
      </c>
      <c r="L37" s="1" t="s">
        <v>92</v>
      </c>
      <c r="M37" s="1" t="s">
        <v>97</v>
      </c>
      <c r="N37" s="1" t="s">
        <v>97</v>
      </c>
      <c r="O37" s="31">
        <v>5</v>
      </c>
      <c r="P37" s="20">
        <v>6</v>
      </c>
      <c r="Q37" s="30">
        <v>-1</v>
      </c>
      <c r="R37" s="29" t="s">
        <v>96</v>
      </c>
      <c r="S37" s="28" t="s">
        <v>97</v>
      </c>
    </row>
    <row r="38" spans="1:19" x14ac:dyDescent="0.3">
      <c r="A38" s="32" t="s">
        <v>31</v>
      </c>
      <c r="B38" s="1">
        <v>0</v>
      </c>
      <c r="C38" s="1">
        <v>0</v>
      </c>
      <c r="D38" s="1">
        <v>0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92</v>
      </c>
      <c r="L38" s="1" t="s">
        <v>92</v>
      </c>
      <c r="M38" s="1" t="s">
        <v>92</v>
      </c>
      <c r="N38" s="1" t="s">
        <v>92</v>
      </c>
      <c r="O38" s="31">
        <v>0</v>
      </c>
      <c r="P38" s="20">
        <v>0</v>
      </c>
      <c r="Q38" s="30">
        <v>0</v>
      </c>
      <c r="R38" s="29" t="s">
        <v>94</v>
      </c>
      <c r="S38" s="28" t="s">
        <v>92</v>
      </c>
    </row>
    <row r="39" spans="1:19" x14ac:dyDescent="0.3">
      <c r="A39" s="32" t="s">
        <v>27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92</v>
      </c>
      <c r="L39" s="1" t="s">
        <v>92</v>
      </c>
      <c r="M39" s="1" t="s">
        <v>92</v>
      </c>
      <c r="N39" s="1" t="s">
        <v>92</v>
      </c>
      <c r="O39" s="31">
        <v>0</v>
      </c>
      <c r="P39" s="20">
        <v>0</v>
      </c>
      <c r="Q39" s="30">
        <v>0</v>
      </c>
      <c r="R39" s="29" t="s">
        <v>94</v>
      </c>
      <c r="S39" s="28" t="s">
        <v>92</v>
      </c>
    </row>
    <row r="40" spans="1:19" x14ac:dyDescent="0.3">
      <c r="A40" s="32" t="s">
        <v>18</v>
      </c>
      <c r="B40" s="1">
        <v>1</v>
      </c>
      <c r="C40" s="1">
        <v>0</v>
      </c>
      <c r="D40" s="1">
        <v>1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95</v>
      </c>
      <c r="M40" s="1" t="s">
        <v>92</v>
      </c>
      <c r="N40" s="1" t="s">
        <v>95</v>
      </c>
      <c r="O40" s="31">
        <v>4</v>
      </c>
      <c r="P40" s="20">
        <v>8</v>
      </c>
      <c r="Q40" s="30">
        <v>-4</v>
      </c>
      <c r="R40" s="29" t="s">
        <v>96</v>
      </c>
      <c r="S40" s="28" t="s">
        <v>95</v>
      </c>
    </row>
    <row r="41" spans="1:19" x14ac:dyDescent="0.3">
      <c r="A41" s="32" t="s">
        <v>8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92</v>
      </c>
      <c r="M41" s="1" t="s">
        <v>92</v>
      </c>
      <c r="N41" s="1" t="s">
        <v>92</v>
      </c>
      <c r="O41" s="31">
        <v>0</v>
      </c>
      <c r="P41" s="20">
        <v>0</v>
      </c>
      <c r="Q41" s="30">
        <v>0</v>
      </c>
      <c r="R41" s="29" t="s">
        <v>94</v>
      </c>
      <c r="S41" s="28" t="s">
        <v>92</v>
      </c>
    </row>
    <row r="42" spans="1:19" ht="15" thickBot="1" x14ac:dyDescent="0.35">
      <c r="A42" s="27" t="s">
        <v>7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92</v>
      </c>
      <c r="M42" s="26" t="s">
        <v>92</v>
      </c>
      <c r="N42" s="26" t="s">
        <v>92</v>
      </c>
      <c r="O42" s="25">
        <v>0</v>
      </c>
      <c r="P42" s="24">
        <v>0</v>
      </c>
      <c r="Q42" s="23">
        <v>0</v>
      </c>
      <c r="R42" s="22" t="s">
        <v>94</v>
      </c>
      <c r="S42" s="21" t="s">
        <v>92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E1BA555-DC2B-44EF-AF21-9C93B57AF7E8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E7467-0653-4542-9819-560B3F9922E5}">
  <dimension ref="A1:T47"/>
  <sheetViews>
    <sheetView workbookViewId="0">
      <selection activeCell="B21" sqref="B2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2</v>
      </c>
      <c r="C4" s="40">
        <v>1</v>
      </c>
      <c r="D4" s="40">
        <v>0</v>
      </c>
      <c r="E4" s="38">
        <v>1</v>
      </c>
      <c r="F4" s="33">
        <v>3</v>
      </c>
      <c r="G4" s="39">
        <v>0</v>
      </c>
      <c r="H4" s="38">
        <v>1</v>
      </c>
      <c r="I4" s="38">
        <v>0</v>
      </c>
      <c r="J4" s="33">
        <v>0</v>
      </c>
      <c r="K4" s="37" t="s">
        <v>92</v>
      </c>
      <c r="L4" s="40" t="s">
        <v>99</v>
      </c>
      <c r="M4" s="40" t="s">
        <v>92</v>
      </c>
      <c r="N4" s="40" t="s">
        <v>91</v>
      </c>
      <c r="O4" s="39">
        <v>4</v>
      </c>
      <c r="P4" s="38">
        <v>4</v>
      </c>
      <c r="Q4" s="33">
        <v>0</v>
      </c>
      <c r="R4" s="37" t="s">
        <v>96</v>
      </c>
      <c r="S4" s="36" t="s">
        <v>99</v>
      </c>
    </row>
    <row r="5" spans="1:20" x14ac:dyDescent="0.3">
      <c r="A5" s="32" t="s">
        <v>29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91</v>
      </c>
      <c r="L5" s="1" t="s">
        <v>92</v>
      </c>
      <c r="M5" s="1" t="s">
        <v>92</v>
      </c>
      <c r="N5" s="1" t="s">
        <v>91</v>
      </c>
      <c r="O5" s="31">
        <v>3</v>
      </c>
      <c r="P5" s="20">
        <v>0</v>
      </c>
      <c r="Q5" s="30">
        <v>3</v>
      </c>
      <c r="R5" s="29" t="s">
        <v>93</v>
      </c>
      <c r="S5" s="28" t="s">
        <v>91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92</v>
      </c>
      <c r="L9" s="1" t="s">
        <v>92</v>
      </c>
      <c r="M9" s="1" t="s">
        <v>92</v>
      </c>
      <c r="N9" s="1" t="s">
        <v>92</v>
      </c>
      <c r="O9" s="31">
        <v>0</v>
      </c>
      <c r="P9" s="20">
        <v>0</v>
      </c>
      <c r="Q9" s="30">
        <v>0</v>
      </c>
      <c r="R9" s="29" t="s">
        <v>94</v>
      </c>
      <c r="S9" s="28" t="s">
        <v>92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23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91</v>
      </c>
      <c r="L14" s="1" t="s">
        <v>92</v>
      </c>
      <c r="M14" s="1" t="s">
        <v>92</v>
      </c>
      <c r="N14" s="1" t="s">
        <v>91</v>
      </c>
      <c r="O14" s="31">
        <v>6</v>
      </c>
      <c r="P14" s="20">
        <v>3</v>
      </c>
      <c r="Q14" s="30">
        <v>3</v>
      </c>
      <c r="R14" s="29" t="s">
        <v>93</v>
      </c>
      <c r="S14" s="28" t="s">
        <v>91</v>
      </c>
    </row>
    <row r="15" spans="1:20" x14ac:dyDescent="0.3">
      <c r="A15" s="32" t="s">
        <v>14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0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91</v>
      </c>
      <c r="N15" s="1" t="s">
        <v>91</v>
      </c>
      <c r="O15" s="31">
        <v>3</v>
      </c>
      <c r="P15" s="20">
        <v>2</v>
      </c>
      <c r="Q15" s="30">
        <v>1</v>
      </c>
      <c r="R15" s="29" t="s">
        <v>93</v>
      </c>
      <c r="S15" s="28" t="s">
        <v>91</v>
      </c>
    </row>
    <row r="16" spans="1:20" x14ac:dyDescent="0.3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91</v>
      </c>
      <c r="L16" s="1" t="s">
        <v>95</v>
      </c>
      <c r="M16" s="1" t="s">
        <v>92</v>
      </c>
      <c r="N16" s="1" t="s">
        <v>98</v>
      </c>
      <c r="O16" s="31">
        <v>5</v>
      </c>
      <c r="P16" s="20">
        <v>4</v>
      </c>
      <c r="Q16" s="30">
        <v>1</v>
      </c>
      <c r="R16" s="29" t="s">
        <v>93</v>
      </c>
      <c r="S16" s="28" t="s">
        <v>98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26</v>
      </c>
      <c r="B18" s="1">
        <v>1</v>
      </c>
      <c r="C18" s="1">
        <v>0</v>
      </c>
      <c r="D18" s="1">
        <v>0</v>
      </c>
      <c r="E18" s="20">
        <v>1</v>
      </c>
      <c r="F18" s="30">
        <v>1</v>
      </c>
      <c r="G18" s="20">
        <v>0</v>
      </c>
      <c r="H18" s="20">
        <v>0</v>
      </c>
      <c r="I18" s="20">
        <v>0</v>
      </c>
      <c r="J18" s="20">
        <v>0</v>
      </c>
      <c r="K18" s="29" t="s">
        <v>97</v>
      </c>
      <c r="L18" s="1" t="s">
        <v>92</v>
      </c>
      <c r="M18" s="1" t="s">
        <v>92</v>
      </c>
      <c r="N18" s="1" t="s">
        <v>97</v>
      </c>
      <c r="O18" s="31">
        <v>0</v>
      </c>
      <c r="P18" s="20">
        <v>1</v>
      </c>
      <c r="Q18" s="30">
        <v>-1</v>
      </c>
      <c r="R18" s="29" t="s">
        <v>96</v>
      </c>
      <c r="S18" s="28" t="s">
        <v>97</v>
      </c>
    </row>
    <row r="19" spans="1:19" x14ac:dyDescent="0.3">
      <c r="A19" s="32" t="s">
        <v>10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95</v>
      </c>
      <c r="L19" s="1" t="s">
        <v>97</v>
      </c>
      <c r="M19" s="1" t="s">
        <v>100</v>
      </c>
      <c r="N19" s="1" t="s">
        <v>100</v>
      </c>
      <c r="O19" s="31">
        <v>2</v>
      </c>
      <c r="P19" s="20">
        <v>10</v>
      </c>
      <c r="Q19" s="30">
        <v>-8</v>
      </c>
      <c r="R19" s="29" t="s">
        <v>101</v>
      </c>
      <c r="S19" s="28" t="s">
        <v>100</v>
      </c>
    </row>
    <row r="20" spans="1:19" x14ac:dyDescent="0.3">
      <c r="A20" s="32" t="s">
        <v>13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92</v>
      </c>
      <c r="L20" s="1" t="s">
        <v>95</v>
      </c>
      <c r="M20" s="1" t="s">
        <v>92</v>
      </c>
      <c r="N20" s="1" t="s">
        <v>95</v>
      </c>
      <c r="O20" s="31">
        <v>1</v>
      </c>
      <c r="P20" s="20">
        <v>2</v>
      </c>
      <c r="Q20" s="30">
        <v>-1</v>
      </c>
      <c r="R20" s="29" t="s">
        <v>96</v>
      </c>
      <c r="S20" s="28" t="s">
        <v>95</v>
      </c>
    </row>
    <row r="21" spans="1:19" ht="15" thickBot="1" x14ac:dyDescent="0.35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92</v>
      </c>
      <c r="M21" s="26" t="s">
        <v>92</v>
      </c>
      <c r="N21" s="26" t="s">
        <v>92</v>
      </c>
      <c r="O21" s="25">
        <v>0</v>
      </c>
      <c r="P21" s="24">
        <v>0</v>
      </c>
      <c r="Q21" s="23">
        <v>0</v>
      </c>
      <c r="R21" s="22" t="s">
        <v>94</v>
      </c>
      <c r="S21" s="21" t="s">
        <v>92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89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91</v>
      </c>
      <c r="L27" s="1" t="s">
        <v>92</v>
      </c>
      <c r="M27" s="1" t="s">
        <v>91</v>
      </c>
      <c r="N27" s="1" t="s">
        <v>91</v>
      </c>
      <c r="O27" s="31">
        <v>6</v>
      </c>
      <c r="P27" s="20">
        <v>0</v>
      </c>
      <c r="Q27" s="30">
        <v>6</v>
      </c>
      <c r="R27" s="29" t="s">
        <v>93</v>
      </c>
      <c r="S27" s="28" t="s">
        <v>91</v>
      </c>
    </row>
    <row r="28" spans="1:19" x14ac:dyDescent="0.3">
      <c r="A28" s="32" t="s">
        <v>25</v>
      </c>
      <c r="B28" s="1">
        <v>2</v>
      </c>
      <c r="C28" s="1">
        <v>0</v>
      </c>
      <c r="D28" s="1">
        <v>2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92</v>
      </c>
      <c r="L28" s="1" t="s">
        <v>102</v>
      </c>
      <c r="M28" s="1" t="s">
        <v>95</v>
      </c>
      <c r="N28" s="1" t="s">
        <v>102</v>
      </c>
      <c r="O28" s="31">
        <v>2</v>
      </c>
      <c r="P28" s="20">
        <v>11</v>
      </c>
      <c r="Q28" s="30">
        <v>-9</v>
      </c>
      <c r="R28" s="29" t="s">
        <v>101</v>
      </c>
      <c r="S28" s="28" t="s">
        <v>102</v>
      </c>
    </row>
    <row r="29" spans="1:19" x14ac:dyDescent="0.3">
      <c r="A29" s="32" t="s">
        <v>22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92</v>
      </c>
      <c r="L29" s="1" t="s">
        <v>92</v>
      </c>
      <c r="M29" s="1" t="s">
        <v>92</v>
      </c>
      <c r="N29" s="1" t="s">
        <v>92</v>
      </c>
      <c r="O29" s="31">
        <v>0</v>
      </c>
      <c r="P29" s="20">
        <v>0</v>
      </c>
      <c r="Q29" s="30">
        <v>0</v>
      </c>
      <c r="R29" s="29" t="s">
        <v>94</v>
      </c>
      <c r="S29" s="28" t="s">
        <v>92</v>
      </c>
    </row>
    <row r="30" spans="1:19" x14ac:dyDescent="0.3">
      <c r="A30" s="32" t="s">
        <v>15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95</v>
      </c>
      <c r="L30" s="1" t="s">
        <v>92</v>
      </c>
      <c r="M30" s="1" t="s">
        <v>95</v>
      </c>
      <c r="N30" s="1" t="s">
        <v>95</v>
      </c>
      <c r="O30" s="31">
        <v>1</v>
      </c>
      <c r="P30" s="20">
        <v>3</v>
      </c>
      <c r="Q30" s="30">
        <v>-2</v>
      </c>
      <c r="R30" s="29" t="s">
        <v>96</v>
      </c>
      <c r="S30" s="28" t="s">
        <v>95</v>
      </c>
    </row>
    <row r="31" spans="1:19" x14ac:dyDescent="0.3">
      <c r="A31" s="32" t="s">
        <v>6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92</v>
      </c>
      <c r="M31" s="1" t="s">
        <v>92</v>
      </c>
      <c r="N31" s="1" t="s">
        <v>92</v>
      </c>
      <c r="O31" s="31">
        <v>0</v>
      </c>
      <c r="P31" s="20">
        <v>0</v>
      </c>
      <c r="Q31" s="30">
        <v>0</v>
      </c>
      <c r="R31" s="29" t="s">
        <v>94</v>
      </c>
      <c r="S31" s="28" t="s">
        <v>92</v>
      </c>
    </row>
    <row r="32" spans="1:19" ht="15" thickBot="1" x14ac:dyDescent="0.35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92</v>
      </c>
      <c r="M32" s="1" t="s">
        <v>92</v>
      </c>
      <c r="N32" s="1" t="s">
        <v>92</v>
      </c>
      <c r="O32" s="31">
        <v>0</v>
      </c>
      <c r="P32" s="20">
        <v>0</v>
      </c>
      <c r="Q32" s="30">
        <v>0</v>
      </c>
      <c r="R32" s="29" t="s">
        <v>94</v>
      </c>
      <c r="S32" s="28" t="s">
        <v>92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8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0</v>
      </c>
      <c r="H36" s="20">
        <v>1</v>
      </c>
      <c r="I36" s="20">
        <v>0</v>
      </c>
      <c r="J36" s="20">
        <v>0</v>
      </c>
      <c r="K36" s="29" t="s">
        <v>91</v>
      </c>
      <c r="L36" s="1" t="s">
        <v>92</v>
      </c>
      <c r="M36" s="1" t="s">
        <v>92</v>
      </c>
      <c r="N36" s="1" t="s">
        <v>92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7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1</v>
      </c>
      <c r="H37" s="20">
        <v>1</v>
      </c>
      <c r="I37" s="20">
        <v>0</v>
      </c>
      <c r="J37" s="20">
        <v>0</v>
      </c>
      <c r="K37" s="29" t="s">
        <v>92</v>
      </c>
      <c r="L37" s="1" t="s">
        <v>91</v>
      </c>
      <c r="M37" s="1" t="s">
        <v>91</v>
      </c>
      <c r="N37" s="1" t="s">
        <v>91</v>
      </c>
      <c r="O37" s="31">
        <v>6</v>
      </c>
      <c r="P37" s="20">
        <v>1</v>
      </c>
      <c r="Q37" s="30">
        <v>5</v>
      </c>
      <c r="R37" s="29" t="s">
        <v>93</v>
      </c>
      <c r="S37" s="28" t="s">
        <v>91</v>
      </c>
    </row>
    <row r="38" spans="1:19" x14ac:dyDescent="0.3">
      <c r="A38" s="32" t="s">
        <v>3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95</v>
      </c>
      <c r="L38" s="1" t="s">
        <v>91</v>
      </c>
      <c r="M38" s="1" t="s">
        <v>98</v>
      </c>
      <c r="N38" s="1" t="s">
        <v>98</v>
      </c>
      <c r="O38" s="31">
        <v>13</v>
      </c>
      <c r="P38" s="20">
        <v>14</v>
      </c>
      <c r="Q38" s="30">
        <v>-1</v>
      </c>
      <c r="R38" s="29" t="s">
        <v>96</v>
      </c>
      <c r="S38" s="28" t="s">
        <v>98</v>
      </c>
    </row>
    <row r="39" spans="1:19" x14ac:dyDescent="0.3">
      <c r="A39" s="32" t="s">
        <v>2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91</v>
      </c>
      <c r="L39" s="1" t="s">
        <v>92</v>
      </c>
      <c r="M39" s="1" t="s">
        <v>92</v>
      </c>
      <c r="N39" s="1" t="s">
        <v>91</v>
      </c>
      <c r="O39" s="31">
        <v>5</v>
      </c>
      <c r="P39" s="20">
        <v>2</v>
      </c>
      <c r="Q39" s="30">
        <v>3</v>
      </c>
      <c r="R39" s="29" t="s">
        <v>93</v>
      </c>
      <c r="S39" s="28" t="s">
        <v>91</v>
      </c>
    </row>
    <row r="40" spans="1:19" x14ac:dyDescent="0.3">
      <c r="A40" s="32" t="s">
        <v>31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92</v>
      </c>
      <c r="L40" s="1" t="s">
        <v>92</v>
      </c>
      <c r="M40" s="1" t="s">
        <v>92</v>
      </c>
      <c r="N40" s="1" t="s">
        <v>92</v>
      </c>
      <c r="O40" s="31">
        <v>0</v>
      </c>
      <c r="P40" s="20">
        <v>0</v>
      </c>
      <c r="Q40" s="30">
        <v>0</v>
      </c>
      <c r="R40" s="29" t="s">
        <v>94</v>
      </c>
      <c r="S40" s="28" t="s">
        <v>92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842D8C8-19F3-4F15-93E2-3A7F18C15433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E2429-E614-4444-AA63-86BF3D28A371}">
  <dimension ref="A1:T47"/>
  <sheetViews>
    <sheetView workbookViewId="0">
      <selection activeCell="B10" sqref="B10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91</v>
      </c>
      <c r="M4" s="40" t="s">
        <v>92</v>
      </c>
      <c r="N4" s="40" t="s">
        <v>91</v>
      </c>
      <c r="O4" s="39">
        <v>7</v>
      </c>
      <c r="P4" s="38">
        <v>3</v>
      </c>
      <c r="Q4" s="33">
        <v>4</v>
      </c>
      <c r="R4" s="37" t="s">
        <v>103</v>
      </c>
      <c r="S4" s="36" t="s">
        <v>104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91</v>
      </c>
      <c r="M6" s="1" t="s">
        <v>91</v>
      </c>
      <c r="N6" s="1" t="s">
        <v>91</v>
      </c>
      <c r="O6" s="31">
        <v>3</v>
      </c>
      <c r="P6" s="20">
        <v>2</v>
      </c>
      <c r="Q6" s="30">
        <v>1</v>
      </c>
      <c r="R6" s="29" t="s">
        <v>93</v>
      </c>
      <c r="S6" s="28" t="s">
        <v>91</v>
      </c>
    </row>
    <row r="7" spans="1:20" x14ac:dyDescent="0.3">
      <c r="A7" s="32" t="s">
        <v>4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98</v>
      </c>
      <c r="L7" s="1" t="s">
        <v>92</v>
      </c>
      <c r="M7" s="1" t="s">
        <v>95</v>
      </c>
      <c r="N7" s="1" t="s">
        <v>98</v>
      </c>
      <c r="O7" s="31">
        <v>4</v>
      </c>
      <c r="P7" s="20">
        <v>4</v>
      </c>
      <c r="Q7" s="30">
        <v>0</v>
      </c>
      <c r="R7" s="29" t="s">
        <v>93</v>
      </c>
      <c r="S7" s="28" t="s">
        <v>98</v>
      </c>
    </row>
    <row r="8" spans="1:20" x14ac:dyDescent="0.3">
      <c r="A8" s="32" t="s">
        <v>28</v>
      </c>
      <c r="B8" s="1">
        <v>1</v>
      </c>
      <c r="C8" s="1">
        <v>0</v>
      </c>
      <c r="D8" s="1">
        <v>1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92</v>
      </c>
      <c r="L8" s="1" t="s">
        <v>95</v>
      </c>
      <c r="M8" s="1" t="s">
        <v>92</v>
      </c>
      <c r="N8" s="1" t="s">
        <v>95</v>
      </c>
      <c r="O8" s="31">
        <v>3</v>
      </c>
      <c r="P8" s="20">
        <v>6</v>
      </c>
      <c r="Q8" s="30">
        <v>-3</v>
      </c>
      <c r="R8" s="29" t="s">
        <v>96</v>
      </c>
      <c r="S8" s="28" t="s">
        <v>95</v>
      </c>
    </row>
    <row r="9" spans="1:20" x14ac:dyDescent="0.3">
      <c r="A9" s="32" t="s">
        <v>21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95</v>
      </c>
      <c r="L9" s="1" t="s">
        <v>92</v>
      </c>
      <c r="M9" s="1" t="s">
        <v>92</v>
      </c>
      <c r="N9" s="1" t="s">
        <v>95</v>
      </c>
      <c r="O9" s="31">
        <v>0</v>
      </c>
      <c r="P9" s="20">
        <v>2</v>
      </c>
      <c r="Q9" s="30">
        <v>-2</v>
      </c>
      <c r="R9" s="29" t="s">
        <v>96</v>
      </c>
      <c r="S9" s="28" t="s">
        <v>95</v>
      </c>
    </row>
    <row r="10" spans="1:20" x14ac:dyDescent="0.3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92</v>
      </c>
      <c r="L10" s="1" t="s">
        <v>92</v>
      </c>
      <c r="M10" s="1" t="s">
        <v>92</v>
      </c>
      <c r="N10" s="1" t="s">
        <v>92</v>
      </c>
      <c r="O10" s="31">
        <v>0</v>
      </c>
      <c r="P10" s="20">
        <v>0</v>
      </c>
      <c r="Q10" s="30">
        <v>0</v>
      </c>
      <c r="R10" s="29" t="s">
        <v>94</v>
      </c>
      <c r="S10" s="28" t="s">
        <v>92</v>
      </c>
    </row>
    <row r="11" spans="1:20" ht="15" thickBot="1" x14ac:dyDescent="0.35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92</v>
      </c>
      <c r="L11" s="1" t="s">
        <v>95</v>
      </c>
      <c r="M11" s="1" t="s">
        <v>92</v>
      </c>
      <c r="N11" s="1" t="s">
        <v>95</v>
      </c>
      <c r="O11" s="31">
        <v>1</v>
      </c>
      <c r="P11" s="20">
        <v>5</v>
      </c>
      <c r="Q11" s="30">
        <v>-4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23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91</v>
      </c>
      <c r="L15" s="1" t="s">
        <v>92</v>
      </c>
      <c r="M15" s="1" t="s">
        <v>92</v>
      </c>
      <c r="N15" s="1" t="s">
        <v>91</v>
      </c>
      <c r="O15" s="31">
        <v>6</v>
      </c>
      <c r="P15" s="20">
        <v>3</v>
      </c>
      <c r="Q15" s="30">
        <v>3</v>
      </c>
      <c r="R15" s="29" t="s">
        <v>93</v>
      </c>
      <c r="S15" s="28" t="s">
        <v>91</v>
      </c>
    </row>
    <row r="16" spans="1:20" x14ac:dyDescent="0.3">
      <c r="A16" s="32" t="s">
        <v>14</v>
      </c>
      <c r="B16" s="1">
        <v>1</v>
      </c>
      <c r="C16" s="1">
        <v>1</v>
      </c>
      <c r="D16" s="1">
        <v>0</v>
      </c>
      <c r="E16" s="20">
        <v>0</v>
      </c>
      <c r="F16" s="30">
        <v>2</v>
      </c>
      <c r="G16" s="20">
        <v>0</v>
      </c>
      <c r="H16" s="20">
        <v>1</v>
      </c>
      <c r="I16" s="20">
        <v>0</v>
      </c>
      <c r="J16" s="20">
        <v>0</v>
      </c>
      <c r="K16" s="29" t="s">
        <v>91</v>
      </c>
      <c r="L16" s="1" t="s">
        <v>92</v>
      </c>
      <c r="M16" s="1" t="s">
        <v>91</v>
      </c>
      <c r="N16" s="1" t="s">
        <v>91</v>
      </c>
      <c r="O16" s="31">
        <v>3</v>
      </c>
      <c r="P16" s="20">
        <v>2</v>
      </c>
      <c r="Q16" s="30">
        <v>1</v>
      </c>
      <c r="R16" s="29" t="s">
        <v>93</v>
      </c>
      <c r="S16" s="28" t="s">
        <v>91</v>
      </c>
    </row>
    <row r="17" spans="1:19" x14ac:dyDescent="0.3">
      <c r="A17" s="32" t="s">
        <v>9</v>
      </c>
      <c r="B17" s="1">
        <v>1</v>
      </c>
      <c r="C17" s="1">
        <v>1</v>
      </c>
      <c r="D17" s="1">
        <v>0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92</v>
      </c>
      <c r="L17" s="1" t="s">
        <v>91</v>
      </c>
      <c r="M17" s="1" t="s">
        <v>91</v>
      </c>
      <c r="N17" s="1" t="s">
        <v>91</v>
      </c>
      <c r="O17" s="31">
        <v>7</v>
      </c>
      <c r="P17" s="20">
        <v>0</v>
      </c>
      <c r="Q17" s="30">
        <v>7</v>
      </c>
      <c r="R17" s="29" t="s">
        <v>93</v>
      </c>
      <c r="S17" s="28" t="s">
        <v>91</v>
      </c>
    </row>
    <row r="18" spans="1:19" x14ac:dyDescent="0.3">
      <c r="A18" s="32" t="s">
        <v>1</v>
      </c>
      <c r="B18" s="1">
        <v>1</v>
      </c>
      <c r="C18" s="1">
        <v>1</v>
      </c>
      <c r="D18" s="1">
        <v>0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92</v>
      </c>
      <c r="L18" s="1" t="s">
        <v>91</v>
      </c>
      <c r="M18" s="1" t="s">
        <v>91</v>
      </c>
      <c r="N18" s="1" t="s">
        <v>91</v>
      </c>
      <c r="O18" s="31">
        <v>5</v>
      </c>
      <c r="P18" s="20">
        <v>2</v>
      </c>
      <c r="Q18" s="30">
        <v>3</v>
      </c>
      <c r="R18" s="29" t="s">
        <v>93</v>
      </c>
      <c r="S18" s="28" t="s">
        <v>91</v>
      </c>
    </row>
    <row r="19" spans="1:19" x14ac:dyDescent="0.3">
      <c r="A19" s="32" t="s">
        <v>26</v>
      </c>
      <c r="B19" s="1">
        <v>2</v>
      </c>
      <c r="C19" s="1">
        <v>0</v>
      </c>
      <c r="D19" s="1">
        <v>1</v>
      </c>
      <c r="E19" s="20">
        <v>1</v>
      </c>
      <c r="F19" s="30">
        <v>1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92</v>
      </c>
      <c r="M19" s="1" t="s">
        <v>95</v>
      </c>
      <c r="N19" s="1" t="s">
        <v>100</v>
      </c>
      <c r="O19" s="31">
        <v>2</v>
      </c>
      <c r="P19" s="20">
        <v>6</v>
      </c>
      <c r="Q19" s="30">
        <v>-4</v>
      </c>
      <c r="R19" s="29" t="s">
        <v>101</v>
      </c>
      <c r="S19" s="28" t="s">
        <v>100</v>
      </c>
    </row>
    <row r="20" spans="1:19" x14ac:dyDescent="0.3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95</v>
      </c>
      <c r="L20" s="1" t="s">
        <v>97</v>
      </c>
      <c r="M20" s="1" t="s">
        <v>100</v>
      </c>
      <c r="N20" s="1" t="s">
        <v>100</v>
      </c>
      <c r="O20" s="31">
        <v>2</v>
      </c>
      <c r="P20" s="20">
        <v>10</v>
      </c>
      <c r="Q20" s="30">
        <v>-8</v>
      </c>
      <c r="R20" s="29" t="s">
        <v>101</v>
      </c>
      <c r="S20" s="28" t="s">
        <v>100</v>
      </c>
    </row>
    <row r="21" spans="1:19" ht="15" thickBot="1" x14ac:dyDescent="0.35">
      <c r="A21" s="27" t="s">
        <v>13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92</v>
      </c>
      <c r="L21" s="26" t="s">
        <v>95</v>
      </c>
      <c r="M21" s="26" t="s">
        <v>92</v>
      </c>
      <c r="N21" s="26" t="s">
        <v>95</v>
      </c>
      <c r="O21" s="25">
        <v>1</v>
      </c>
      <c r="P21" s="24">
        <v>2</v>
      </c>
      <c r="Q21" s="23">
        <v>-1</v>
      </c>
      <c r="R21" s="22" t="s">
        <v>96</v>
      </c>
      <c r="S21" s="21" t="s">
        <v>95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91</v>
      </c>
      <c r="L25" s="1" t="s">
        <v>92</v>
      </c>
      <c r="M25" s="1" t="s">
        <v>92</v>
      </c>
      <c r="N25" s="1" t="s">
        <v>91</v>
      </c>
      <c r="O25" s="31">
        <v>8</v>
      </c>
      <c r="P25" s="20">
        <v>4</v>
      </c>
      <c r="Q25" s="30">
        <v>4</v>
      </c>
      <c r="R25" s="29" t="s">
        <v>93</v>
      </c>
      <c r="S25" s="28" t="s">
        <v>91</v>
      </c>
    </row>
    <row r="26" spans="1:19" x14ac:dyDescent="0.3">
      <c r="A26" s="32" t="s">
        <v>17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92</v>
      </c>
      <c r="L26" s="1" t="s">
        <v>91</v>
      </c>
      <c r="M26" s="1" t="s">
        <v>91</v>
      </c>
      <c r="N26" s="1" t="s">
        <v>91</v>
      </c>
      <c r="O26" s="31">
        <v>3</v>
      </c>
      <c r="P26" s="20">
        <v>1</v>
      </c>
      <c r="Q26" s="30">
        <v>2</v>
      </c>
      <c r="R26" s="29" t="s">
        <v>93</v>
      </c>
      <c r="S26" s="28" t="s">
        <v>91</v>
      </c>
    </row>
    <row r="27" spans="1:19" x14ac:dyDescent="0.3">
      <c r="A27" s="32" t="s">
        <v>6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92</v>
      </c>
      <c r="L27" s="1" t="s">
        <v>91</v>
      </c>
      <c r="M27" s="1" t="s">
        <v>91</v>
      </c>
      <c r="N27" s="1" t="s">
        <v>91</v>
      </c>
      <c r="O27" s="31">
        <v>4</v>
      </c>
      <c r="P27" s="20">
        <v>0</v>
      </c>
      <c r="Q27" s="30">
        <v>4</v>
      </c>
      <c r="R27" s="29" t="s">
        <v>93</v>
      </c>
      <c r="S27" s="28" t="s">
        <v>91</v>
      </c>
    </row>
    <row r="28" spans="1:19" x14ac:dyDescent="0.3">
      <c r="A28" s="32" t="s">
        <v>89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91</v>
      </c>
      <c r="L28" s="1" t="s">
        <v>92</v>
      </c>
      <c r="M28" s="1" t="s">
        <v>91</v>
      </c>
      <c r="N28" s="1" t="s">
        <v>91</v>
      </c>
      <c r="O28" s="31">
        <v>6</v>
      </c>
      <c r="P28" s="20">
        <v>0</v>
      </c>
      <c r="Q28" s="30">
        <v>6</v>
      </c>
      <c r="R28" s="29" t="s">
        <v>93</v>
      </c>
      <c r="S28" s="28" t="s">
        <v>91</v>
      </c>
    </row>
    <row r="29" spans="1:19" x14ac:dyDescent="0.3">
      <c r="A29" s="32" t="s">
        <v>0</v>
      </c>
      <c r="B29" s="1">
        <v>1</v>
      </c>
      <c r="C29" s="1">
        <v>0</v>
      </c>
      <c r="D29" s="1">
        <v>0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97</v>
      </c>
      <c r="L29" s="1" t="s">
        <v>92</v>
      </c>
      <c r="M29" s="1" t="s">
        <v>92</v>
      </c>
      <c r="N29" s="1" t="s">
        <v>92</v>
      </c>
      <c r="O29" s="31">
        <v>3</v>
      </c>
      <c r="P29" s="20">
        <v>4</v>
      </c>
      <c r="Q29" s="30">
        <v>-1</v>
      </c>
      <c r="R29" s="29" t="s">
        <v>96</v>
      </c>
      <c r="S29" s="28" t="s">
        <v>97</v>
      </c>
    </row>
    <row r="30" spans="1:19" x14ac:dyDescent="0.3">
      <c r="A30" s="32" t="s">
        <v>25</v>
      </c>
      <c r="B30" s="1">
        <v>2</v>
      </c>
      <c r="C30" s="1">
        <v>0</v>
      </c>
      <c r="D30" s="1">
        <v>2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92</v>
      </c>
      <c r="L30" s="1" t="s">
        <v>102</v>
      </c>
      <c r="M30" s="1" t="s">
        <v>95</v>
      </c>
      <c r="N30" s="1" t="s">
        <v>102</v>
      </c>
      <c r="O30" s="31">
        <v>2</v>
      </c>
      <c r="P30" s="20">
        <v>11</v>
      </c>
      <c r="Q30" s="30">
        <v>-9</v>
      </c>
      <c r="R30" s="29" t="s">
        <v>101</v>
      </c>
      <c r="S30" s="28" t="s">
        <v>102</v>
      </c>
    </row>
    <row r="31" spans="1:19" x14ac:dyDescent="0.3">
      <c r="A31" s="32" t="s">
        <v>22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95</v>
      </c>
      <c r="L31" s="1" t="s">
        <v>92</v>
      </c>
      <c r="M31" s="1" t="s">
        <v>95</v>
      </c>
      <c r="N31" s="1" t="s">
        <v>95</v>
      </c>
      <c r="O31" s="31">
        <v>0</v>
      </c>
      <c r="P31" s="20">
        <v>4</v>
      </c>
      <c r="Q31" s="30">
        <v>-4</v>
      </c>
      <c r="R31" s="29" t="s">
        <v>96</v>
      </c>
      <c r="S31" s="28" t="s">
        <v>95</v>
      </c>
    </row>
    <row r="32" spans="1:19" ht="15" thickBot="1" x14ac:dyDescent="0.35">
      <c r="A32" s="32" t="s">
        <v>15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92</v>
      </c>
      <c r="M32" s="1" t="s">
        <v>95</v>
      </c>
      <c r="N32" s="1" t="s">
        <v>95</v>
      </c>
      <c r="O32" s="31">
        <v>1</v>
      </c>
      <c r="P32" s="20">
        <v>3</v>
      </c>
      <c r="Q32" s="30">
        <v>-2</v>
      </c>
      <c r="R32" s="29" t="s">
        <v>96</v>
      </c>
      <c r="S32" s="28" t="s">
        <v>95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1</v>
      </c>
      <c r="H35" s="20">
        <v>1</v>
      </c>
      <c r="I35" s="20">
        <v>0</v>
      </c>
      <c r="J35" s="20">
        <v>0</v>
      </c>
      <c r="K35" s="29" t="s">
        <v>97</v>
      </c>
      <c r="L35" s="1" t="s">
        <v>91</v>
      </c>
      <c r="M35" s="1" t="s">
        <v>99</v>
      </c>
      <c r="N35" s="1" t="s">
        <v>99</v>
      </c>
      <c r="O35" s="31">
        <v>14</v>
      </c>
      <c r="P35" s="20">
        <v>13</v>
      </c>
      <c r="Q35" s="30">
        <v>1</v>
      </c>
      <c r="R35" s="29" t="s">
        <v>93</v>
      </c>
      <c r="S35" s="28" t="s">
        <v>99</v>
      </c>
    </row>
    <row r="36" spans="1:19" x14ac:dyDescent="0.3">
      <c r="A36" s="32" t="s">
        <v>31</v>
      </c>
      <c r="B36" s="1">
        <v>1</v>
      </c>
      <c r="C36" s="1">
        <v>1</v>
      </c>
      <c r="D36" s="1">
        <v>0</v>
      </c>
      <c r="E36" s="20">
        <v>0</v>
      </c>
      <c r="F36" s="30">
        <v>2</v>
      </c>
      <c r="G36" s="20">
        <v>1</v>
      </c>
      <c r="H36" s="20">
        <v>1</v>
      </c>
      <c r="I36" s="20">
        <v>0</v>
      </c>
      <c r="J36" s="20">
        <v>0</v>
      </c>
      <c r="K36" s="29" t="s">
        <v>92</v>
      </c>
      <c r="L36" s="1" t="s">
        <v>91</v>
      </c>
      <c r="M36" s="1" t="s">
        <v>91</v>
      </c>
      <c r="N36" s="1" t="s">
        <v>91</v>
      </c>
      <c r="O36" s="31">
        <v>4</v>
      </c>
      <c r="P36" s="20">
        <v>3</v>
      </c>
      <c r="Q36" s="30">
        <v>1</v>
      </c>
      <c r="R36" s="29" t="s">
        <v>93</v>
      </c>
      <c r="S36" s="28" t="s">
        <v>91</v>
      </c>
    </row>
    <row r="37" spans="1:19" x14ac:dyDescent="0.3">
      <c r="A37" s="32" t="s">
        <v>8</v>
      </c>
      <c r="B37" s="1">
        <v>1</v>
      </c>
      <c r="C37" s="1">
        <v>1</v>
      </c>
      <c r="D37" s="1">
        <v>0</v>
      </c>
      <c r="E37" s="20">
        <v>0</v>
      </c>
      <c r="F37" s="30">
        <v>2</v>
      </c>
      <c r="G37" s="20">
        <v>0</v>
      </c>
      <c r="H37" s="20">
        <v>1</v>
      </c>
      <c r="I37" s="20">
        <v>0</v>
      </c>
      <c r="J37" s="20">
        <v>0</v>
      </c>
      <c r="K37" s="29" t="s">
        <v>91</v>
      </c>
      <c r="L37" s="1" t="s">
        <v>92</v>
      </c>
      <c r="M37" s="1" t="s">
        <v>92</v>
      </c>
      <c r="N37" s="1" t="s">
        <v>92</v>
      </c>
      <c r="O37" s="31">
        <v>4</v>
      </c>
      <c r="P37" s="20">
        <v>3</v>
      </c>
      <c r="Q37" s="30">
        <v>1</v>
      </c>
      <c r="R37" s="29" t="s">
        <v>93</v>
      </c>
      <c r="S37" s="28" t="s">
        <v>91</v>
      </c>
    </row>
    <row r="38" spans="1:19" x14ac:dyDescent="0.3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6</v>
      </c>
      <c r="P38" s="20">
        <v>1</v>
      </c>
      <c r="Q38" s="30">
        <v>5</v>
      </c>
      <c r="R38" s="29" t="s">
        <v>93</v>
      </c>
      <c r="S38" s="28" t="s">
        <v>91</v>
      </c>
    </row>
    <row r="39" spans="1:19" x14ac:dyDescent="0.3">
      <c r="A39" s="32" t="s">
        <v>3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95</v>
      </c>
      <c r="L39" s="1" t="s">
        <v>91</v>
      </c>
      <c r="M39" s="1" t="s">
        <v>98</v>
      </c>
      <c r="N39" s="1" t="s">
        <v>98</v>
      </c>
      <c r="O39" s="31">
        <v>13</v>
      </c>
      <c r="P39" s="20">
        <v>14</v>
      </c>
      <c r="Q39" s="30">
        <v>-1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27</v>
      </c>
      <c r="B41" s="1">
        <v>1</v>
      </c>
      <c r="C41" s="1">
        <v>0</v>
      </c>
      <c r="D41" s="1">
        <v>1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92</v>
      </c>
      <c r="M41" s="1" t="s">
        <v>95</v>
      </c>
      <c r="N41" s="1" t="s">
        <v>95</v>
      </c>
      <c r="O41" s="31">
        <v>1</v>
      </c>
      <c r="P41" s="20">
        <v>6</v>
      </c>
      <c r="Q41" s="30">
        <v>-5</v>
      </c>
      <c r="R41" s="29" t="s">
        <v>96</v>
      </c>
      <c r="S41" s="28" t="s">
        <v>95</v>
      </c>
    </row>
    <row r="42" spans="1:19" ht="15" thickBot="1" x14ac:dyDescent="0.35">
      <c r="A42" s="27" t="s">
        <v>18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92</v>
      </c>
      <c r="L42" s="26" t="s">
        <v>95</v>
      </c>
      <c r="M42" s="26" t="s">
        <v>92</v>
      </c>
      <c r="N42" s="26" t="s">
        <v>95</v>
      </c>
      <c r="O42" s="25">
        <v>4</v>
      </c>
      <c r="P42" s="24">
        <v>8</v>
      </c>
      <c r="Q42" s="23">
        <v>-4</v>
      </c>
      <c r="R42" s="22" t="s">
        <v>96</v>
      </c>
      <c r="S42" s="21" t="s">
        <v>95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7347E3-105D-4178-B51E-EBA1E2C71A48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42850-50CF-4312-9B84-3FBC9074B926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2</v>
      </c>
      <c r="C5" s="1">
        <v>1</v>
      </c>
      <c r="D5" s="1">
        <v>0</v>
      </c>
      <c r="E5" s="20">
        <v>1</v>
      </c>
      <c r="F5" s="30">
        <v>3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99</v>
      </c>
      <c r="M5" s="1" t="s">
        <v>92</v>
      </c>
      <c r="N5" s="1" t="s">
        <v>91</v>
      </c>
      <c r="O5" s="31">
        <v>4</v>
      </c>
      <c r="P5" s="20">
        <v>4</v>
      </c>
      <c r="Q5" s="30">
        <v>0</v>
      </c>
      <c r="R5" s="29" t="s">
        <v>96</v>
      </c>
      <c r="S5" s="28" t="s">
        <v>99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95</v>
      </c>
      <c r="L11" s="1" t="s">
        <v>92</v>
      </c>
      <c r="M11" s="1" t="s">
        <v>92</v>
      </c>
      <c r="N11" s="1" t="s">
        <v>95</v>
      </c>
      <c r="O11" s="31">
        <v>0</v>
      </c>
      <c r="P11" s="20">
        <v>2</v>
      </c>
      <c r="Q11" s="30">
        <v>-2</v>
      </c>
      <c r="R11" s="29" t="s">
        <v>96</v>
      </c>
      <c r="S11" s="28" t="s">
        <v>95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3</v>
      </c>
      <c r="C14" s="1">
        <v>2</v>
      </c>
      <c r="D14" s="1">
        <v>1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91</v>
      </c>
      <c r="L14" s="1" t="s">
        <v>98</v>
      </c>
      <c r="M14" s="1" t="s">
        <v>92</v>
      </c>
      <c r="N14" s="1" t="s">
        <v>105</v>
      </c>
      <c r="O14" s="31">
        <v>7</v>
      </c>
      <c r="P14" s="20">
        <v>4</v>
      </c>
      <c r="Q14" s="30">
        <v>3</v>
      </c>
      <c r="R14" s="29" t="s">
        <v>103</v>
      </c>
      <c r="S14" s="28" t="s">
        <v>105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10</v>
      </c>
      <c r="P27" s="20">
        <v>1</v>
      </c>
      <c r="Q27" s="30">
        <v>9</v>
      </c>
      <c r="R27" s="29" t="s">
        <v>103</v>
      </c>
      <c r="S27" s="28" t="s">
        <v>104</v>
      </c>
    </row>
    <row r="28" spans="1:19" x14ac:dyDescent="0.3">
      <c r="A28" s="32" t="s">
        <v>15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92</v>
      </c>
      <c r="M28" s="1" t="s">
        <v>98</v>
      </c>
      <c r="N28" s="1" t="s">
        <v>98</v>
      </c>
      <c r="O28" s="31">
        <v>3</v>
      </c>
      <c r="P28" s="20">
        <v>4</v>
      </c>
      <c r="Q28" s="30">
        <v>-1</v>
      </c>
      <c r="R28" s="29" t="s">
        <v>93</v>
      </c>
      <c r="S28" s="28" t="s">
        <v>98</v>
      </c>
    </row>
    <row r="29" spans="1:19" x14ac:dyDescent="0.3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92</v>
      </c>
      <c r="L29" s="1" t="s">
        <v>98</v>
      </c>
      <c r="M29" s="1" t="s">
        <v>98</v>
      </c>
      <c r="N29" s="1" t="s">
        <v>98</v>
      </c>
      <c r="O29" s="31">
        <v>5</v>
      </c>
      <c r="P29" s="20">
        <v>6</v>
      </c>
      <c r="Q29" s="30">
        <v>-1</v>
      </c>
      <c r="R29" s="29" t="s">
        <v>96</v>
      </c>
      <c r="S29" s="28" t="s">
        <v>98</v>
      </c>
    </row>
    <row r="30" spans="1:19" x14ac:dyDescent="0.3">
      <c r="A30" s="32" t="s">
        <v>0</v>
      </c>
      <c r="B30" s="1">
        <v>1</v>
      </c>
      <c r="C30" s="1">
        <v>0</v>
      </c>
      <c r="D30" s="1">
        <v>0</v>
      </c>
      <c r="E30" s="20">
        <v>1</v>
      </c>
      <c r="F30" s="30">
        <v>1</v>
      </c>
      <c r="G30" s="20">
        <v>0</v>
      </c>
      <c r="H30" s="20">
        <v>0</v>
      </c>
      <c r="I30" s="20">
        <v>0</v>
      </c>
      <c r="J30" s="20">
        <v>0</v>
      </c>
      <c r="K30" s="29" t="s">
        <v>97</v>
      </c>
      <c r="L30" s="1" t="s">
        <v>92</v>
      </c>
      <c r="M30" s="1" t="s">
        <v>92</v>
      </c>
      <c r="N30" s="1" t="s">
        <v>92</v>
      </c>
      <c r="O30" s="31">
        <v>3</v>
      </c>
      <c r="P30" s="20">
        <v>4</v>
      </c>
      <c r="Q30" s="30">
        <v>-1</v>
      </c>
      <c r="R30" s="29" t="s">
        <v>96</v>
      </c>
      <c r="S30" s="28" t="s">
        <v>97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8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0</v>
      </c>
      <c r="H36" s="20">
        <v>2</v>
      </c>
      <c r="I36" s="20">
        <v>0</v>
      </c>
      <c r="J36" s="20">
        <v>0</v>
      </c>
      <c r="K36" s="29" t="s">
        <v>104</v>
      </c>
      <c r="L36" s="1" t="s">
        <v>92</v>
      </c>
      <c r="M36" s="1" t="s">
        <v>91</v>
      </c>
      <c r="N36" s="1" t="s">
        <v>91</v>
      </c>
      <c r="O36" s="31">
        <v>9</v>
      </c>
      <c r="P36" s="20">
        <v>7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3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105</v>
      </c>
      <c r="N37" s="1" t="s">
        <v>105</v>
      </c>
      <c r="O37" s="31">
        <v>17</v>
      </c>
      <c r="P37" s="20">
        <v>15</v>
      </c>
      <c r="Q37" s="30">
        <v>2</v>
      </c>
      <c r="R37" s="29" t="s">
        <v>93</v>
      </c>
      <c r="S37" s="28" t="s">
        <v>105</v>
      </c>
    </row>
    <row r="38" spans="1:19" x14ac:dyDescent="0.3">
      <c r="A38" s="32" t="s">
        <v>31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92</v>
      </c>
      <c r="L38" s="1" t="s">
        <v>91</v>
      </c>
      <c r="M38" s="1" t="s">
        <v>91</v>
      </c>
      <c r="N38" s="1" t="s">
        <v>91</v>
      </c>
      <c r="O38" s="31">
        <v>4</v>
      </c>
      <c r="P38" s="20">
        <v>3</v>
      </c>
      <c r="Q38" s="30">
        <v>1</v>
      </c>
      <c r="R38" s="29" t="s">
        <v>93</v>
      </c>
      <c r="S38" s="28" t="s">
        <v>91</v>
      </c>
    </row>
    <row r="39" spans="1:19" x14ac:dyDescent="0.3">
      <c r="A39" s="32" t="s">
        <v>7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92</v>
      </c>
      <c r="L39" s="1" t="s">
        <v>98</v>
      </c>
      <c r="M39" s="1" t="s">
        <v>98</v>
      </c>
      <c r="N39" s="1" t="s">
        <v>98</v>
      </c>
      <c r="O39" s="31">
        <v>7</v>
      </c>
      <c r="P39" s="20">
        <v>4</v>
      </c>
      <c r="Q39" s="30">
        <v>3</v>
      </c>
      <c r="R39" s="29" t="s">
        <v>96</v>
      </c>
      <c r="S39" s="28" t="s">
        <v>98</v>
      </c>
    </row>
    <row r="40" spans="1:19" x14ac:dyDescent="0.3">
      <c r="A40" s="32" t="s">
        <v>2</v>
      </c>
      <c r="B40" s="1">
        <v>2</v>
      </c>
      <c r="C40" s="1">
        <v>1</v>
      </c>
      <c r="D40" s="1">
        <v>1</v>
      </c>
      <c r="E40" s="20">
        <v>0</v>
      </c>
      <c r="F40" s="30">
        <v>2</v>
      </c>
      <c r="G40" s="20">
        <v>1</v>
      </c>
      <c r="H40" s="20">
        <v>1</v>
      </c>
      <c r="I40" s="20">
        <v>0</v>
      </c>
      <c r="J40" s="20">
        <v>0</v>
      </c>
      <c r="K40" s="29" t="s">
        <v>98</v>
      </c>
      <c r="L40" s="1" t="s">
        <v>92</v>
      </c>
      <c r="M40" s="1" t="s">
        <v>95</v>
      </c>
      <c r="N40" s="1" t="s">
        <v>98</v>
      </c>
      <c r="O40" s="31">
        <v>8</v>
      </c>
      <c r="P40" s="20">
        <v>6</v>
      </c>
      <c r="Q40" s="30">
        <v>2</v>
      </c>
      <c r="R40" s="29" t="s">
        <v>96</v>
      </c>
      <c r="S40" s="28" t="s">
        <v>98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2</v>
      </c>
      <c r="C42" s="26">
        <v>0</v>
      </c>
      <c r="D42" s="26">
        <v>2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95</v>
      </c>
      <c r="M42" s="26" t="s">
        <v>102</v>
      </c>
      <c r="N42" s="26" t="s">
        <v>102</v>
      </c>
      <c r="O42" s="25">
        <v>2</v>
      </c>
      <c r="P42" s="24">
        <v>10</v>
      </c>
      <c r="Q42" s="23">
        <v>-8</v>
      </c>
      <c r="R42" s="22" t="s">
        <v>101</v>
      </c>
      <c r="S42" s="21" t="s">
        <v>102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E8340-8D91-4817-91A1-3B63DD72923C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754C2-886A-475B-8925-8FEC2B07AFC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3</v>
      </c>
      <c r="C4" s="40">
        <v>2</v>
      </c>
      <c r="D4" s="40">
        <v>1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91</v>
      </c>
      <c r="L4" s="40" t="s">
        <v>98</v>
      </c>
      <c r="M4" s="40" t="s">
        <v>92</v>
      </c>
      <c r="N4" s="40" t="s">
        <v>91</v>
      </c>
      <c r="O4" s="39">
        <v>8</v>
      </c>
      <c r="P4" s="38">
        <v>7</v>
      </c>
      <c r="Q4" s="33">
        <v>1</v>
      </c>
      <c r="R4" s="37" t="s">
        <v>96</v>
      </c>
      <c r="S4" s="36" t="s">
        <v>105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16</v>
      </c>
      <c r="B6" s="1">
        <v>2</v>
      </c>
      <c r="C6" s="1">
        <v>1</v>
      </c>
      <c r="D6" s="1">
        <v>0</v>
      </c>
      <c r="E6" s="20">
        <v>1</v>
      </c>
      <c r="F6" s="30">
        <v>3</v>
      </c>
      <c r="G6" s="31">
        <v>1</v>
      </c>
      <c r="H6" s="20">
        <v>1</v>
      </c>
      <c r="I6" s="20">
        <v>0</v>
      </c>
      <c r="J6" s="30">
        <v>0</v>
      </c>
      <c r="K6" s="29" t="s">
        <v>92</v>
      </c>
      <c r="L6" s="1" t="s">
        <v>99</v>
      </c>
      <c r="M6" s="1" t="s">
        <v>91</v>
      </c>
      <c r="N6" s="1" t="s">
        <v>99</v>
      </c>
      <c r="O6" s="31">
        <v>8</v>
      </c>
      <c r="P6" s="20">
        <v>8</v>
      </c>
      <c r="Q6" s="30">
        <v>0</v>
      </c>
      <c r="R6" s="29" t="s">
        <v>96</v>
      </c>
      <c r="S6" s="28" t="s">
        <v>99</v>
      </c>
    </row>
    <row r="7" spans="1:20" x14ac:dyDescent="0.3">
      <c r="A7" s="32" t="s">
        <v>28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91</v>
      </c>
      <c r="L7" s="1" t="s">
        <v>95</v>
      </c>
      <c r="M7" s="1" t="s">
        <v>92</v>
      </c>
      <c r="N7" s="1" t="s">
        <v>95</v>
      </c>
      <c r="O7" s="31">
        <v>7</v>
      </c>
      <c r="P7" s="20">
        <v>9</v>
      </c>
      <c r="Q7" s="30">
        <v>-2</v>
      </c>
      <c r="R7" s="29" t="s">
        <v>93</v>
      </c>
      <c r="S7" s="28" t="s">
        <v>98</v>
      </c>
    </row>
    <row r="8" spans="1:20" x14ac:dyDescent="0.3">
      <c r="A8" s="32" t="s">
        <v>11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91</v>
      </c>
      <c r="M8" s="1" t="s">
        <v>91</v>
      </c>
      <c r="N8" s="1" t="s">
        <v>91</v>
      </c>
      <c r="O8" s="31">
        <v>3</v>
      </c>
      <c r="P8" s="20">
        <v>2</v>
      </c>
      <c r="Q8" s="30">
        <v>1</v>
      </c>
      <c r="R8" s="29" t="s">
        <v>93</v>
      </c>
      <c r="S8" s="28" t="s">
        <v>91</v>
      </c>
    </row>
    <row r="9" spans="1:20" x14ac:dyDescent="0.3">
      <c r="A9" s="32" t="s">
        <v>5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98</v>
      </c>
      <c r="O9" s="31">
        <v>4</v>
      </c>
      <c r="P9" s="20">
        <v>6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2</v>
      </c>
      <c r="C15" s="1">
        <v>2</v>
      </c>
      <c r="D15" s="1">
        <v>0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91</v>
      </c>
      <c r="L15" s="1" t="s">
        <v>91</v>
      </c>
      <c r="M15" s="1" t="s">
        <v>91</v>
      </c>
      <c r="N15" s="1" t="s">
        <v>104</v>
      </c>
      <c r="O15" s="31">
        <v>13</v>
      </c>
      <c r="P15" s="20">
        <v>5</v>
      </c>
      <c r="Q15" s="30">
        <v>8</v>
      </c>
      <c r="R15" s="29" t="s">
        <v>103</v>
      </c>
      <c r="S15" s="28" t="s">
        <v>104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3</v>
      </c>
      <c r="C20" s="1">
        <v>0</v>
      </c>
      <c r="D20" s="1">
        <v>1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97</v>
      </c>
      <c r="M20" s="1" t="s">
        <v>108</v>
      </c>
      <c r="N20" s="1" t="s">
        <v>108</v>
      </c>
      <c r="O20" s="31">
        <v>4</v>
      </c>
      <c r="P20" s="20">
        <v>13</v>
      </c>
      <c r="Q20" s="30">
        <v>-9</v>
      </c>
      <c r="R20" s="29" t="s">
        <v>109</v>
      </c>
      <c r="S20" s="28" t="s">
        <v>108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104</v>
      </c>
      <c r="L25" s="1" t="s">
        <v>92</v>
      </c>
      <c r="M25" s="1" t="s">
        <v>91</v>
      </c>
      <c r="N25" s="1" t="s">
        <v>104</v>
      </c>
      <c r="O25" s="31">
        <v>14</v>
      </c>
      <c r="P25" s="20">
        <v>5</v>
      </c>
      <c r="Q25" s="30">
        <v>9</v>
      </c>
      <c r="R25" s="29" t="s">
        <v>103</v>
      </c>
      <c r="S25" s="28" t="s">
        <v>104</v>
      </c>
    </row>
    <row r="26" spans="1:19" x14ac:dyDescent="0.3">
      <c r="A26" s="32" t="s">
        <v>17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91</v>
      </c>
      <c r="M26" s="1" t="s">
        <v>91</v>
      </c>
      <c r="N26" s="1" t="s">
        <v>91</v>
      </c>
      <c r="O26" s="31">
        <v>7</v>
      </c>
      <c r="P26" s="20">
        <v>2</v>
      </c>
      <c r="Q26" s="30">
        <v>5</v>
      </c>
      <c r="R26" s="29" t="s">
        <v>103</v>
      </c>
      <c r="S26" s="28" t="s">
        <v>104</v>
      </c>
    </row>
    <row r="27" spans="1:19" x14ac:dyDescent="0.3">
      <c r="A27" s="32" t="s">
        <v>89</v>
      </c>
      <c r="B27" s="1">
        <v>3</v>
      </c>
      <c r="C27" s="1">
        <v>2</v>
      </c>
      <c r="D27" s="1">
        <v>1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98</v>
      </c>
      <c r="M27" s="1" t="s">
        <v>91</v>
      </c>
      <c r="N27" s="1" t="s">
        <v>91</v>
      </c>
      <c r="O27" s="31">
        <v>12</v>
      </c>
      <c r="P27" s="20">
        <v>5</v>
      </c>
      <c r="Q27" s="30">
        <v>7</v>
      </c>
      <c r="R27" s="29" t="s">
        <v>96</v>
      </c>
      <c r="S27" s="28" t="s">
        <v>105</v>
      </c>
    </row>
    <row r="28" spans="1:19" x14ac:dyDescent="0.3">
      <c r="A28" s="32" t="s">
        <v>0</v>
      </c>
      <c r="B28" s="1">
        <v>2</v>
      </c>
      <c r="C28" s="1">
        <v>1</v>
      </c>
      <c r="D28" s="1">
        <v>0</v>
      </c>
      <c r="E28" s="20">
        <v>1</v>
      </c>
      <c r="F28" s="30">
        <v>3</v>
      </c>
      <c r="G28" s="20">
        <v>1</v>
      </c>
      <c r="H28" s="20">
        <v>1</v>
      </c>
      <c r="I28" s="20">
        <v>0</v>
      </c>
      <c r="J28" s="20">
        <v>0</v>
      </c>
      <c r="K28" s="29" t="s">
        <v>97</v>
      </c>
      <c r="L28" s="1" t="s">
        <v>91</v>
      </c>
      <c r="M28" s="1" t="s">
        <v>92</v>
      </c>
      <c r="N28" s="1" t="s">
        <v>92</v>
      </c>
      <c r="O28" s="31">
        <v>6</v>
      </c>
      <c r="P28" s="20">
        <v>6</v>
      </c>
      <c r="Q28" s="30">
        <v>0</v>
      </c>
      <c r="R28" s="29" t="s">
        <v>93</v>
      </c>
      <c r="S28" s="28" t="s">
        <v>99</v>
      </c>
    </row>
    <row r="29" spans="1:19" x14ac:dyDescent="0.3">
      <c r="A29" s="32" t="s">
        <v>15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92</v>
      </c>
      <c r="M29" s="1" t="s">
        <v>98</v>
      </c>
      <c r="N29" s="1" t="s">
        <v>98</v>
      </c>
      <c r="O29" s="31">
        <v>3</v>
      </c>
      <c r="P29" s="20">
        <v>4</v>
      </c>
      <c r="Q29" s="30">
        <v>-1</v>
      </c>
      <c r="R29" s="29" t="s">
        <v>93</v>
      </c>
      <c r="S29" s="28" t="s">
        <v>98</v>
      </c>
    </row>
    <row r="30" spans="1:19" x14ac:dyDescent="0.3">
      <c r="A30" s="32" t="s">
        <v>6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92</v>
      </c>
      <c r="L30" s="1" t="s">
        <v>98</v>
      </c>
      <c r="M30" s="1" t="s">
        <v>98</v>
      </c>
      <c r="N30" s="1" t="s">
        <v>98</v>
      </c>
      <c r="O30" s="31">
        <v>5</v>
      </c>
      <c r="P30" s="20">
        <v>6</v>
      </c>
      <c r="Q30" s="30">
        <v>-1</v>
      </c>
      <c r="R30" s="29" t="s">
        <v>96</v>
      </c>
      <c r="S30" s="28" t="s">
        <v>98</v>
      </c>
    </row>
    <row r="31" spans="1:19" x14ac:dyDescent="0.3">
      <c r="A31" s="32" t="s">
        <v>25</v>
      </c>
      <c r="B31" s="1">
        <v>3</v>
      </c>
      <c r="C31" s="1">
        <v>0</v>
      </c>
      <c r="D31" s="1">
        <v>3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92</v>
      </c>
      <c r="L31" s="1" t="s">
        <v>110</v>
      </c>
      <c r="M31" s="1" t="s">
        <v>95</v>
      </c>
      <c r="N31" s="1" t="s">
        <v>102</v>
      </c>
      <c r="O31" s="31">
        <v>5</v>
      </c>
      <c r="P31" s="20">
        <v>15</v>
      </c>
      <c r="Q31" s="30">
        <v>-10</v>
      </c>
      <c r="R31" s="29" t="s">
        <v>109</v>
      </c>
      <c r="S31" s="28" t="s">
        <v>110</v>
      </c>
    </row>
    <row r="32" spans="1:19" ht="15" thickBot="1" x14ac:dyDescent="0.35">
      <c r="A32" s="32" t="s">
        <v>22</v>
      </c>
      <c r="B32" s="1">
        <v>2</v>
      </c>
      <c r="C32" s="1">
        <v>0</v>
      </c>
      <c r="D32" s="1">
        <v>2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95</v>
      </c>
      <c r="L32" s="1" t="s">
        <v>95</v>
      </c>
      <c r="M32" s="1" t="s">
        <v>102</v>
      </c>
      <c r="N32" s="1" t="s">
        <v>102</v>
      </c>
      <c r="O32" s="31">
        <v>1</v>
      </c>
      <c r="P32" s="20">
        <v>6</v>
      </c>
      <c r="Q32" s="30">
        <v>-5</v>
      </c>
      <c r="R32" s="29" t="s">
        <v>101</v>
      </c>
      <c r="S32" s="28" t="s">
        <v>102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92</v>
      </c>
      <c r="M37" s="1" t="s">
        <v>91</v>
      </c>
      <c r="N37" s="1" t="s">
        <v>91</v>
      </c>
      <c r="O37" s="31">
        <v>9</v>
      </c>
      <c r="P37" s="20">
        <v>7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F8782E4-BF7F-4A8E-ADE1-A232D6A2D979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1661A-9C19-4FA9-AD1C-1EE4CFEE9995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4</v>
      </c>
      <c r="C4" s="40">
        <v>2</v>
      </c>
      <c r="D4" s="40">
        <v>2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95</v>
      </c>
      <c r="N4" s="40" t="s">
        <v>98</v>
      </c>
      <c r="O4" s="39">
        <v>9</v>
      </c>
      <c r="P4" s="38">
        <v>11</v>
      </c>
      <c r="Q4" s="33">
        <v>-2</v>
      </c>
      <c r="R4" s="37" t="s">
        <v>101</v>
      </c>
      <c r="S4" s="36" t="s">
        <v>115</v>
      </c>
    </row>
    <row r="5" spans="1:20" x14ac:dyDescent="0.3">
      <c r="A5" s="32" t="s">
        <v>19</v>
      </c>
      <c r="B5" s="1">
        <v>3</v>
      </c>
      <c r="C5" s="1">
        <v>1</v>
      </c>
      <c r="D5" s="1">
        <v>0</v>
      </c>
      <c r="E5" s="20">
        <v>2</v>
      </c>
      <c r="F5" s="30">
        <v>4</v>
      </c>
      <c r="G5" s="31">
        <v>0</v>
      </c>
      <c r="H5" s="20">
        <v>1</v>
      </c>
      <c r="I5" s="20">
        <v>0</v>
      </c>
      <c r="J5" s="30">
        <v>0</v>
      </c>
      <c r="K5" s="29" t="s">
        <v>92</v>
      </c>
      <c r="L5" s="1" t="s">
        <v>112</v>
      </c>
      <c r="M5" s="1" t="s">
        <v>92</v>
      </c>
      <c r="N5" s="1" t="s">
        <v>91</v>
      </c>
      <c r="O5" s="31">
        <v>6</v>
      </c>
      <c r="P5" s="20">
        <v>7</v>
      </c>
      <c r="Q5" s="30">
        <v>-1</v>
      </c>
      <c r="R5" s="29" t="s">
        <v>101</v>
      </c>
      <c r="S5" s="28" t="s">
        <v>112</v>
      </c>
    </row>
    <row r="6" spans="1:20" x14ac:dyDescent="0.3">
      <c r="A6" s="32" t="s">
        <v>11</v>
      </c>
      <c r="B6" s="1">
        <v>2</v>
      </c>
      <c r="C6" s="1">
        <v>2</v>
      </c>
      <c r="D6" s="1">
        <v>0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92</v>
      </c>
      <c r="L6" s="1" t="s">
        <v>104</v>
      </c>
      <c r="M6" s="1" t="s">
        <v>104</v>
      </c>
      <c r="N6" s="1" t="s">
        <v>104</v>
      </c>
      <c r="O6" s="31">
        <v>7</v>
      </c>
      <c r="P6" s="20">
        <v>3</v>
      </c>
      <c r="Q6" s="30">
        <v>4</v>
      </c>
      <c r="R6" s="29" t="s">
        <v>103</v>
      </c>
      <c r="S6" s="28" t="s">
        <v>104</v>
      </c>
    </row>
    <row r="7" spans="1:20" x14ac:dyDescent="0.3">
      <c r="A7" s="32" t="s">
        <v>5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104</v>
      </c>
      <c r="L7" s="1" t="s">
        <v>95</v>
      </c>
      <c r="M7" s="1" t="s">
        <v>92</v>
      </c>
      <c r="N7" s="1" t="s">
        <v>105</v>
      </c>
      <c r="O7" s="31">
        <v>8</v>
      </c>
      <c r="P7" s="20">
        <v>7</v>
      </c>
      <c r="Q7" s="30">
        <v>1</v>
      </c>
      <c r="R7" s="29" t="s">
        <v>103</v>
      </c>
      <c r="S7" s="28" t="s">
        <v>105</v>
      </c>
    </row>
    <row r="8" spans="1:20" x14ac:dyDescent="0.3">
      <c r="A8" s="32" t="s">
        <v>16</v>
      </c>
      <c r="B8" s="1">
        <v>2</v>
      </c>
      <c r="C8" s="1">
        <v>1</v>
      </c>
      <c r="D8" s="1">
        <v>0</v>
      </c>
      <c r="E8" s="20">
        <v>1</v>
      </c>
      <c r="F8" s="30">
        <v>3</v>
      </c>
      <c r="G8" s="31">
        <v>1</v>
      </c>
      <c r="H8" s="20">
        <v>1</v>
      </c>
      <c r="I8" s="20">
        <v>0</v>
      </c>
      <c r="J8" s="30">
        <v>0</v>
      </c>
      <c r="K8" s="29" t="s">
        <v>92</v>
      </c>
      <c r="L8" s="1" t="s">
        <v>99</v>
      </c>
      <c r="M8" s="1" t="s">
        <v>91</v>
      </c>
      <c r="N8" s="1" t="s">
        <v>99</v>
      </c>
      <c r="O8" s="31">
        <v>8</v>
      </c>
      <c r="P8" s="20">
        <v>8</v>
      </c>
      <c r="Q8" s="30">
        <v>0</v>
      </c>
      <c r="R8" s="29" t="s">
        <v>96</v>
      </c>
      <c r="S8" s="28" t="s">
        <v>99</v>
      </c>
    </row>
    <row r="9" spans="1:20" x14ac:dyDescent="0.3">
      <c r="A9" s="32" t="s">
        <v>28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91</v>
      </c>
      <c r="L9" s="1" t="s">
        <v>95</v>
      </c>
      <c r="M9" s="1" t="s">
        <v>92</v>
      </c>
      <c r="N9" s="1" t="s">
        <v>95</v>
      </c>
      <c r="O9" s="31">
        <v>7</v>
      </c>
      <c r="P9" s="20">
        <v>9</v>
      </c>
      <c r="Q9" s="30">
        <v>-2</v>
      </c>
      <c r="R9" s="29" t="s">
        <v>93</v>
      </c>
      <c r="S9" s="28" t="s">
        <v>98</v>
      </c>
    </row>
    <row r="10" spans="1:20" x14ac:dyDescent="0.3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106</v>
      </c>
      <c r="L10" s="1" t="s">
        <v>92</v>
      </c>
      <c r="M10" s="1" t="s">
        <v>102</v>
      </c>
      <c r="N10" s="1" t="s">
        <v>106</v>
      </c>
      <c r="O10" s="31">
        <v>6</v>
      </c>
      <c r="P10" s="20">
        <v>7</v>
      </c>
      <c r="Q10" s="30">
        <v>-1</v>
      </c>
      <c r="R10" s="29" t="s">
        <v>96</v>
      </c>
      <c r="S10" s="28" t="s">
        <v>106</v>
      </c>
    </row>
    <row r="11" spans="1:20" ht="15" thickBot="1" x14ac:dyDescent="0.35">
      <c r="A11" s="32" t="s">
        <v>21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102</v>
      </c>
      <c r="L11" s="1" t="s">
        <v>92</v>
      </c>
      <c r="M11" s="1" t="s">
        <v>92</v>
      </c>
      <c r="N11" s="1" t="s">
        <v>95</v>
      </c>
      <c r="O11" s="31">
        <v>2</v>
      </c>
      <c r="P11" s="20">
        <v>5</v>
      </c>
      <c r="Q11" s="30">
        <v>-3</v>
      </c>
      <c r="R11" s="29" t="s">
        <v>101</v>
      </c>
      <c r="S11" s="28" t="s">
        <v>102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4</v>
      </c>
      <c r="C14" s="1">
        <v>3</v>
      </c>
      <c r="D14" s="1">
        <v>1</v>
      </c>
      <c r="E14" s="20">
        <v>0</v>
      </c>
      <c r="F14" s="33">
        <v>6</v>
      </c>
      <c r="G14" s="20">
        <v>3</v>
      </c>
      <c r="H14" s="20">
        <v>3</v>
      </c>
      <c r="I14" s="20">
        <v>0</v>
      </c>
      <c r="J14" s="20">
        <v>0</v>
      </c>
      <c r="K14" s="29" t="s">
        <v>104</v>
      </c>
      <c r="L14" s="1" t="s">
        <v>98</v>
      </c>
      <c r="M14" s="1" t="s">
        <v>92</v>
      </c>
      <c r="N14" s="1" t="s">
        <v>105</v>
      </c>
      <c r="O14" s="31">
        <v>11</v>
      </c>
      <c r="P14" s="20">
        <v>6</v>
      </c>
      <c r="Q14" s="30">
        <v>5</v>
      </c>
      <c r="R14" s="29" t="s">
        <v>113</v>
      </c>
      <c r="S14" s="28" t="s">
        <v>114</v>
      </c>
    </row>
    <row r="15" spans="1:20" x14ac:dyDescent="0.3">
      <c r="A15" s="32" t="s">
        <v>9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1</v>
      </c>
      <c r="H15" s="20">
        <v>2</v>
      </c>
      <c r="I15" s="20">
        <v>0</v>
      </c>
      <c r="J15" s="20">
        <v>0</v>
      </c>
      <c r="K15" s="29" t="s">
        <v>98</v>
      </c>
      <c r="L15" s="1" t="s">
        <v>91</v>
      </c>
      <c r="M15" s="1" t="s">
        <v>91</v>
      </c>
      <c r="N15" s="1" t="s">
        <v>104</v>
      </c>
      <c r="O15" s="31">
        <v>15</v>
      </c>
      <c r="P15" s="20">
        <v>8</v>
      </c>
      <c r="Q15" s="30">
        <v>7</v>
      </c>
      <c r="R15" s="29" t="s">
        <v>96</v>
      </c>
      <c r="S15" s="28" t="s">
        <v>105</v>
      </c>
    </row>
    <row r="16" spans="1:20" x14ac:dyDescent="0.3">
      <c r="A16" s="32" t="s">
        <v>26</v>
      </c>
      <c r="B16" s="1">
        <v>3</v>
      </c>
      <c r="C16" s="1">
        <v>1</v>
      </c>
      <c r="D16" s="1">
        <v>1</v>
      </c>
      <c r="E16" s="20">
        <v>1</v>
      </c>
      <c r="F16" s="30">
        <v>3</v>
      </c>
      <c r="G16" s="20">
        <v>0</v>
      </c>
      <c r="H16" s="20">
        <v>1</v>
      </c>
      <c r="I16" s="20">
        <v>0</v>
      </c>
      <c r="J16" s="20">
        <v>0</v>
      </c>
      <c r="K16" s="29" t="s">
        <v>100</v>
      </c>
      <c r="L16" s="1" t="s">
        <v>91</v>
      </c>
      <c r="M16" s="1" t="s">
        <v>98</v>
      </c>
      <c r="N16" s="1" t="s">
        <v>107</v>
      </c>
      <c r="O16" s="31">
        <v>5</v>
      </c>
      <c r="P16" s="20">
        <v>8</v>
      </c>
      <c r="Q16" s="30">
        <v>-3</v>
      </c>
      <c r="R16" s="29" t="s">
        <v>93</v>
      </c>
      <c r="S16" s="28" t="s">
        <v>107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91</v>
      </c>
      <c r="L18" s="1" t="s">
        <v>95</v>
      </c>
      <c r="M18" s="1" t="s">
        <v>98</v>
      </c>
      <c r="N18" s="1" t="s">
        <v>98</v>
      </c>
      <c r="O18" s="31">
        <v>3</v>
      </c>
      <c r="P18" s="20">
        <v>8</v>
      </c>
      <c r="Q18" s="30">
        <v>-5</v>
      </c>
      <c r="R18" s="29" t="s">
        <v>96</v>
      </c>
      <c r="S18" s="28" t="s">
        <v>98</v>
      </c>
    </row>
    <row r="19" spans="1:19" x14ac:dyDescent="0.3">
      <c r="A19" s="32" t="s">
        <v>13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95</v>
      </c>
      <c r="M19" s="1" t="s">
        <v>91</v>
      </c>
      <c r="N19" s="1" t="s">
        <v>98</v>
      </c>
      <c r="O19" s="31">
        <v>7</v>
      </c>
      <c r="P19" s="20">
        <v>2</v>
      </c>
      <c r="Q19" s="30">
        <v>5</v>
      </c>
      <c r="R19" s="29" t="s">
        <v>93</v>
      </c>
      <c r="S19" s="28" t="s">
        <v>98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0</v>
      </c>
      <c r="K25" s="29" t="s">
        <v>97</v>
      </c>
      <c r="L25" s="1" t="s">
        <v>104</v>
      </c>
      <c r="M25" s="1" t="s">
        <v>92</v>
      </c>
      <c r="N25" s="1" t="s">
        <v>92</v>
      </c>
      <c r="O25" s="31">
        <v>9</v>
      </c>
      <c r="P25" s="20">
        <v>8</v>
      </c>
      <c r="Q25" s="30">
        <v>1</v>
      </c>
      <c r="R25" s="29" t="s">
        <v>103</v>
      </c>
      <c r="S25" s="28" t="s">
        <v>111</v>
      </c>
    </row>
    <row r="26" spans="1:19" x14ac:dyDescent="0.3">
      <c r="A26" s="32" t="s">
        <v>24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2</v>
      </c>
      <c r="H26" s="20">
        <v>2</v>
      </c>
      <c r="I26" s="20">
        <v>0</v>
      </c>
      <c r="J26" s="20">
        <v>0</v>
      </c>
      <c r="K26" s="29" t="s">
        <v>104</v>
      </c>
      <c r="L26" s="1" t="s">
        <v>92</v>
      </c>
      <c r="M26" s="1" t="s">
        <v>91</v>
      </c>
      <c r="N26" s="1" t="s">
        <v>104</v>
      </c>
      <c r="O26" s="31">
        <v>14</v>
      </c>
      <c r="P26" s="20">
        <v>5</v>
      </c>
      <c r="Q26" s="30">
        <v>9</v>
      </c>
      <c r="R26" s="29" t="s">
        <v>103</v>
      </c>
      <c r="S26" s="28" t="s">
        <v>104</v>
      </c>
    </row>
    <row r="27" spans="1:19" x14ac:dyDescent="0.3">
      <c r="A27" s="32" t="s">
        <v>17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91</v>
      </c>
      <c r="M27" s="1" t="s">
        <v>91</v>
      </c>
      <c r="N27" s="1" t="s">
        <v>91</v>
      </c>
      <c r="O27" s="31">
        <v>7</v>
      </c>
      <c r="P27" s="20">
        <v>2</v>
      </c>
      <c r="Q27" s="30">
        <v>5</v>
      </c>
      <c r="R27" s="29" t="s">
        <v>103</v>
      </c>
      <c r="S27" s="28" t="s">
        <v>104</v>
      </c>
    </row>
    <row r="28" spans="1:19" x14ac:dyDescent="0.3">
      <c r="A28" s="32" t="s">
        <v>89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98</v>
      </c>
      <c r="M28" s="1" t="s">
        <v>91</v>
      </c>
      <c r="N28" s="1" t="s">
        <v>91</v>
      </c>
      <c r="O28" s="31">
        <v>12</v>
      </c>
      <c r="P28" s="20">
        <v>5</v>
      </c>
      <c r="Q28" s="30">
        <v>7</v>
      </c>
      <c r="R28" s="29" t="s">
        <v>96</v>
      </c>
      <c r="S28" s="28" t="s">
        <v>105</v>
      </c>
    </row>
    <row r="29" spans="1:19" x14ac:dyDescent="0.3">
      <c r="A29" s="32" t="s">
        <v>22</v>
      </c>
      <c r="B29" s="1">
        <v>3</v>
      </c>
      <c r="C29" s="1">
        <v>1</v>
      </c>
      <c r="D29" s="1">
        <v>2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95</v>
      </c>
      <c r="M29" s="1" t="s">
        <v>102</v>
      </c>
      <c r="N29" s="1" t="s">
        <v>106</v>
      </c>
      <c r="O29" s="31">
        <v>6</v>
      </c>
      <c r="P29" s="20">
        <v>6</v>
      </c>
      <c r="Q29" s="30">
        <v>0</v>
      </c>
      <c r="R29" s="29" t="s">
        <v>93</v>
      </c>
      <c r="S29" s="28" t="s">
        <v>106</v>
      </c>
    </row>
    <row r="30" spans="1:19" x14ac:dyDescent="0.3">
      <c r="A30" s="32" t="s">
        <v>15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98</v>
      </c>
      <c r="L30" s="1" t="s">
        <v>92</v>
      </c>
      <c r="M30" s="1" t="s">
        <v>98</v>
      </c>
      <c r="N30" s="1" t="s">
        <v>98</v>
      </c>
      <c r="O30" s="31">
        <v>3</v>
      </c>
      <c r="P30" s="20">
        <v>4</v>
      </c>
      <c r="Q30" s="30">
        <v>-1</v>
      </c>
      <c r="R30" s="29" t="s">
        <v>93</v>
      </c>
      <c r="S30" s="28" t="s">
        <v>98</v>
      </c>
    </row>
    <row r="31" spans="1:19" x14ac:dyDescent="0.3">
      <c r="A31" s="32" t="s">
        <v>6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92</v>
      </c>
      <c r="L31" s="1" t="s">
        <v>98</v>
      </c>
      <c r="M31" s="1" t="s">
        <v>98</v>
      </c>
      <c r="N31" s="1" t="s">
        <v>98</v>
      </c>
      <c r="O31" s="31">
        <v>5</v>
      </c>
      <c r="P31" s="20">
        <v>6</v>
      </c>
      <c r="Q31" s="30">
        <v>-1</v>
      </c>
      <c r="R31" s="29" t="s">
        <v>96</v>
      </c>
      <c r="S31" s="28" t="s">
        <v>98</v>
      </c>
    </row>
    <row r="32" spans="1:19" ht="15" thickBot="1" x14ac:dyDescent="0.35">
      <c r="A32" s="32" t="s">
        <v>25</v>
      </c>
      <c r="B32" s="1">
        <v>3</v>
      </c>
      <c r="C32" s="1">
        <v>0</v>
      </c>
      <c r="D32" s="1">
        <v>3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92</v>
      </c>
      <c r="L32" s="1" t="s">
        <v>110</v>
      </c>
      <c r="M32" s="1" t="s">
        <v>95</v>
      </c>
      <c r="N32" s="1" t="s">
        <v>102</v>
      </c>
      <c r="O32" s="31">
        <v>5</v>
      </c>
      <c r="P32" s="20">
        <v>15</v>
      </c>
      <c r="Q32" s="30">
        <v>-10</v>
      </c>
      <c r="R32" s="29" t="s">
        <v>109</v>
      </c>
      <c r="S32" s="28" t="s">
        <v>110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3</v>
      </c>
      <c r="C35" s="1">
        <v>2</v>
      </c>
      <c r="D35" s="1">
        <v>0</v>
      </c>
      <c r="E35" s="20">
        <v>1</v>
      </c>
      <c r="F35" s="33">
        <v>5</v>
      </c>
      <c r="G35" s="20">
        <v>2</v>
      </c>
      <c r="H35" s="20">
        <v>2</v>
      </c>
      <c r="I35" s="20">
        <v>0</v>
      </c>
      <c r="J35" s="20">
        <v>0</v>
      </c>
      <c r="K35" s="29" t="s">
        <v>99</v>
      </c>
      <c r="L35" s="1" t="s">
        <v>91</v>
      </c>
      <c r="M35" s="1" t="s">
        <v>111</v>
      </c>
      <c r="N35" s="1" t="s">
        <v>111</v>
      </c>
      <c r="O35" s="31">
        <v>17</v>
      </c>
      <c r="P35" s="20">
        <v>14</v>
      </c>
      <c r="Q35" s="30">
        <v>3</v>
      </c>
      <c r="R35" s="29" t="s">
        <v>103</v>
      </c>
      <c r="S35" s="28" t="s">
        <v>111</v>
      </c>
    </row>
    <row r="36" spans="1:19" x14ac:dyDescent="0.3">
      <c r="A36" s="32" t="s">
        <v>31</v>
      </c>
      <c r="B36" s="1">
        <v>2</v>
      </c>
      <c r="C36" s="1">
        <v>2</v>
      </c>
      <c r="D36" s="1">
        <v>0</v>
      </c>
      <c r="E36" s="20">
        <v>0</v>
      </c>
      <c r="F36" s="30">
        <v>4</v>
      </c>
      <c r="G36" s="20">
        <v>1</v>
      </c>
      <c r="H36" s="20">
        <v>2</v>
      </c>
      <c r="I36" s="20">
        <v>0</v>
      </c>
      <c r="J36" s="20">
        <v>0</v>
      </c>
      <c r="K36" s="29" t="s">
        <v>91</v>
      </c>
      <c r="L36" s="1" t="s">
        <v>91</v>
      </c>
      <c r="M36" s="1" t="s">
        <v>91</v>
      </c>
      <c r="N36" s="1" t="s">
        <v>91</v>
      </c>
      <c r="O36" s="31">
        <v>7</v>
      </c>
      <c r="P36" s="20">
        <v>5</v>
      </c>
      <c r="Q36" s="30">
        <v>2</v>
      </c>
      <c r="R36" s="29" t="s">
        <v>103</v>
      </c>
      <c r="S36" s="28" t="s">
        <v>104</v>
      </c>
    </row>
    <row r="37" spans="1:19" x14ac:dyDescent="0.3">
      <c r="A37" s="32" t="s">
        <v>8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0</v>
      </c>
      <c r="H37" s="20">
        <v>2</v>
      </c>
      <c r="I37" s="20">
        <v>0</v>
      </c>
      <c r="J37" s="20">
        <v>0</v>
      </c>
      <c r="K37" s="29" t="s">
        <v>104</v>
      </c>
      <c r="L37" s="1" t="s">
        <v>95</v>
      </c>
      <c r="M37" s="1" t="s">
        <v>91</v>
      </c>
      <c r="N37" s="1" t="s">
        <v>98</v>
      </c>
      <c r="O37" s="31">
        <v>9</v>
      </c>
      <c r="P37" s="20">
        <v>12</v>
      </c>
      <c r="Q37" s="30">
        <v>-3</v>
      </c>
      <c r="R37" s="29" t="s">
        <v>96</v>
      </c>
      <c r="S37" s="28" t="s">
        <v>105</v>
      </c>
    </row>
    <row r="38" spans="1:19" x14ac:dyDescent="0.3">
      <c r="A38" s="32" t="s">
        <v>7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2</v>
      </c>
      <c r="H38" s="20">
        <v>2</v>
      </c>
      <c r="I38" s="20">
        <v>0</v>
      </c>
      <c r="J38" s="20">
        <v>0</v>
      </c>
      <c r="K38" s="29" t="s">
        <v>91</v>
      </c>
      <c r="L38" s="1" t="s">
        <v>98</v>
      </c>
      <c r="M38" s="1" t="s">
        <v>105</v>
      </c>
      <c r="N38" s="1" t="s">
        <v>105</v>
      </c>
      <c r="O38" s="31">
        <v>13</v>
      </c>
      <c r="P38" s="20">
        <v>5</v>
      </c>
      <c r="Q38" s="30">
        <v>8</v>
      </c>
      <c r="R38" s="29" t="s">
        <v>93</v>
      </c>
      <c r="S38" s="28" t="s">
        <v>105</v>
      </c>
    </row>
    <row r="39" spans="1:19" x14ac:dyDescent="0.3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106</v>
      </c>
      <c r="L39" s="1" t="s">
        <v>91</v>
      </c>
      <c r="M39" s="1" t="s">
        <v>115</v>
      </c>
      <c r="N39" s="1" t="s">
        <v>115</v>
      </c>
      <c r="O39" s="31">
        <v>19</v>
      </c>
      <c r="P39" s="20">
        <v>18</v>
      </c>
      <c r="Q39" s="30">
        <v>1</v>
      </c>
      <c r="R39" s="29" t="s">
        <v>96</v>
      </c>
      <c r="S39" s="28" t="s">
        <v>115</v>
      </c>
    </row>
    <row r="40" spans="1:19" x14ac:dyDescent="0.3">
      <c r="A40" s="32" t="s">
        <v>2</v>
      </c>
      <c r="B40" s="1">
        <v>3</v>
      </c>
      <c r="C40" s="1">
        <v>2</v>
      </c>
      <c r="D40" s="1">
        <v>1</v>
      </c>
      <c r="E40" s="20">
        <v>0</v>
      </c>
      <c r="F40" s="30">
        <v>4</v>
      </c>
      <c r="G40" s="20">
        <v>2</v>
      </c>
      <c r="H40" s="20">
        <v>2</v>
      </c>
      <c r="I40" s="20">
        <v>0</v>
      </c>
      <c r="J40" s="20">
        <v>0</v>
      </c>
      <c r="K40" s="29" t="s">
        <v>98</v>
      </c>
      <c r="L40" s="1" t="s">
        <v>91</v>
      </c>
      <c r="M40" s="1" t="s">
        <v>98</v>
      </c>
      <c r="N40" s="1" t="s">
        <v>105</v>
      </c>
      <c r="O40" s="31">
        <v>11</v>
      </c>
      <c r="P40" s="20">
        <v>8</v>
      </c>
      <c r="Q40" s="30">
        <v>3</v>
      </c>
      <c r="R40" s="29" t="s">
        <v>93</v>
      </c>
      <c r="S40" s="28" t="s">
        <v>105</v>
      </c>
    </row>
    <row r="41" spans="1:19" x14ac:dyDescent="0.3">
      <c r="A41" s="32" t="s">
        <v>18</v>
      </c>
      <c r="B41" s="1">
        <v>2</v>
      </c>
      <c r="C41" s="1">
        <v>0</v>
      </c>
      <c r="D41" s="1">
        <v>1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92</v>
      </c>
      <c r="L41" s="1" t="s">
        <v>100</v>
      </c>
      <c r="M41" s="1" t="s">
        <v>97</v>
      </c>
      <c r="N41" s="1" t="s">
        <v>100</v>
      </c>
      <c r="O41" s="31">
        <v>8</v>
      </c>
      <c r="P41" s="20">
        <v>13</v>
      </c>
      <c r="Q41" s="30">
        <v>-5</v>
      </c>
      <c r="R41" s="29" t="s">
        <v>101</v>
      </c>
      <c r="S41" s="28" t="s">
        <v>100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882BC5F-AAFA-4652-BF4A-BF580FB27468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6EB6D-6B66-4258-BCE6-C89972BD050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91</v>
      </c>
      <c r="M16" s="1" t="s">
        <v>91</v>
      </c>
      <c r="N16" s="1" t="s">
        <v>104</v>
      </c>
      <c r="O16" s="31">
        <v>15</v>
      </c>
      <c r="P16" s="20">
        <v>8</v>
      </c>
      <c r="Q16" s="30">
        <v>7</v>
      </c>
      <c r="R16" s="29" t="s">
        <v>96</v>
      </c>
      <c r="S16" s="28" t="s">
        <v>105</v>
      </c>
    </row>
    <row r="17" spans="1:19" x14ac:dyDescent="0.3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98</v>
      </c>
      <c r="L17" s="1" t="s">
        <v>92</v>
      </c>
      <c r="M17" s="1" t="s">
        <v>92</v>
      </c>
      <c r="N17" s="1" t="s">
        <v>91</v>
      </c>
      <c r="O17" s="31">
        <v>7</v>
      </c>
      <c r="P17" s="20">
        <v>7</v>
      </c>
      <c r="Q17" s="30">
        <v>0</v>
      </c>
      <c r="R17" s="29" t="s">
        <v>96</v>
      </c>
      <c r="S17" s="28" t="s">
        <v>98</v>
      </c>
    </row>
    <row r="18" spans="1:19" x14ac:dyDescent="0.3">
      <c r="A18" s="32" t="s">
        <v>14</v>
      </c>
      <c r="B18" s="1">
        <v>3</v>
      </c>
      <c r="C18" s="1">
        <v>1</v>
      </c>
      <c r="D18" s="1">
        <v>2</v>
      </c>
      <c r="E18" s="20">
        <v>0</v>
      </c>
      <c r="F18" s="30">
        <v>2</v>
      </c>
      <c r="G18" s="20">
        <v>0</v>
      </c>
      <c r="H18" s="20">
        <v>1</v>
      </c>
      <c r="I18" s="20">
        <v>0</v>
      </c>
      <c r="J18" s="20">
        <v>0</v>
      </c>
      <c r="K18" s="29" t="s">
        <v>98</v>
      </c>
      <c r="L18" s="1" t="s">
        <v>95</v>
      </c>
      <c r="M18" s="1" t="s">
        <v>98</v>
      </c>
      <c r="N18" s="1" t="s">
        <v>98</v>
      </c>
      <c r="O18" s="31">
        <v>6</v>
      </c>
      <c r="P18" s="20">
        <v>13</v>
      </c>
      <c r="Q18" s="30">
        <v>-7</v>
      </c>
      <c r="R18" s="29" t="s">
        <v>101</v>
      </c>
      <c r="S18" s="28" t="s">
        <v>106</v>
      </c>
    </row>
    <row r="19" spans="1:19" x14ac:dyDescent="0.3">
      <c r="A19" s="32" t="s">
        <v>13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91</v>
      </c>
      <c r="L19" s="1" t="s">
        <v>102</v>
      </c>
      <c r="M19" s="1" t="s">
        <v>98</v>
      </c>
      <c r="N19" s="1" t="s">
        <v>106</v>
      </c>
      <c r="O19" s="31">
        <v>9</v>
      </c>
      <c r="P19" s="20">
        <v>7</v>
      </c>
      <c r="Q19" s="30">
        <v>2</v>
      </c>
      <c r="R19" s="29" t="s">
        <v>96</v>
      </c>
      <c r="S19" s="28" t="s">
        <v>106</v>
      </c>
    </row>
    <row r="20" spans="1:19" x14ac:dyDescent="0.3">
      <c r="A20" s="32" t="s">
        <v>10</v>
      </c>
      <c r="B20" s="1">
        <v>4</v>
      </c>
      <c r="C20" s="1">
        <v>0</v>
      </c>
      <c r="D20" s="1">
        <v>2</v>
      </c>
      <c r="E20" s="20">
        <v>2</v>
      </c>
      <c r="F20" s="30">
        <v>2</v>
      </c>
      <c r="G20" s="20">
        <v>0</v>
      </c>
      <c r="H20" s="20">
        <v>0</v>
      </c>
      <c r="I20" s="20">
        <v>0</v>
      </c>
      <c r="J20" s="20">
        <v>0</v>
      </c>
      <c r="K20" s="29" t="s">
        <v>100</v>
      </c>
      <c r="L20" s="1" t="s">
        <v>100</v>
      </c>
      <c r="M20" s="1" t="s">
        <v>108</v>
      </c>
      <c r="N20" s="1" t="s">
        <v>116</v>
      </c>
      <c r="O20" s="31">
        <v>5</v>
      </c>
      <c r="P20" s="20">
        <v>17</v>
      </c>
      <c r="Q20" s="30">
        <v>-12</v>
      </c>
      <c r="R20" s="29" t="s">
        <v>117</v>
      </c>
      <c r="S20" s="28" t="s">
        <v>116</v>
      </c>
    </row>
    <row r="21" spans="1:19" ht="15" thickBot="1" x14ac:dyDescent="0.35">
      <c r="A21" s="27" t="s">
        <v>1</v>
      </c>
      <c r="B21" s="26">
        <v>2</v>
      </c>
      <c r="C21" s="26">
        <v>1</v>
      </c>
      <c r="D21" s="26">
        <v>1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92</v>
      </c>
      <c r="L21" s="26" t="s">
        <v>98</v>
      </c>
      <c r="M21" s="26" t="s">
        <v>91</v>
      </c>
      <c r="N21" s="26" t="s">
        <v>98</v>
      </c>
      <c r="O21" s="25">
        <v>6</v>
      </c>
      <c r="P21" s="24">
        <v>5</v>
      </c>
      <c r="Q21" s="23">
        <v>1</v>
      </c>
      <c r="R21" s="22" t="s">
        <v>96</v>
      </c>
      <c r="S21" s="21" t="s">
        <v>98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4</v>
      </c>
      <c r="C25" s="1">
        <v>3</v>
      </c>
      <c r="D25" s="1">
        <v>1</v>
      </c>
      <c r="E25" s="20">
        <v>0</v>
      </c>
      <c r="F25" s="30">
        <v>6</v>
      </c>
      <c r="G25" s="20">
        <v>3</v>
      </c>
      <c r="H25" s="20">
        <v>3</v>
      </c>
      <c r="I25" s="20">
        <v>0</v>
      </c>
      <c r="J25" s="20">
        <v>0</v>
      </c>
      <c r="K25" s="29" t="s">
        <v>91</v>
      </c>
      <c r="L25" s="1" t="s">
        <v>105</v>
      </c>
      <c r="M25" s="1" t="s">
        <v>91</v>
      </c>
      <c r="N25" s="1" t="s">
        <v>91</v>
      </c>
      <c r="O25" s="31">
        <v>17</v>
      </c>
      <c r="P25" s="20">
        <v>8</v>
      </c>
      <c r="Q25" s="30">
        <v>9</v>
      </c>
      <c r="R25" s="29" t="s">
        <v>93</v>
      </c>
      <c r="S25" s="28" t="s">
        <v>114</v>
      </c>
    </row>
    <row r="26" spans="1:19" x14ac:dyDescent="0.3">
      <c r="A26" s="32" t="s">
        <v>17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91</v>
      </c>
      <c r="L26" s="1" t="s">
        <v>99</v>
      </c>
      <c r="M26" s="1" t="s">
        <v>91</v>
      </c>
      <c r="N26" s="1" t="s">
        <v>91</v>
      </c>
      <c r="O26" s="31">
        <v>9</v>
      </c>
      <c r="P26" s="20">
        <v>5</v>
      </c>
      <c r="Q26" s="30">
        <v>4</v>
      </c>
      <c r="R26" s="29" t="s">
        <v>96</v>
      </c>
      <c r="S26" s="28" t="s">
        <v>111</v>
      </c>
    </row>
    <row r="27" spans="1:19" x14ac:dyDescent="0.3">
      <c r="A27" s="32" t="s">
        <v>0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97</v>
      </c>
      <c r="L27" s="1" t="s">
        <v>104</v>
      </c>
      <c r="M27" s="1" t="s">
        <v>92</v>
      </c>
      <c r="N27" s="1" t="s">
        <v>92</v>
      </c>
      <c r="O27" s="31">
        <v>9</v>
      </c>
      <c r="P27" s="20">
        <v>8</v>
      </c>
      <c r="Q27" s="30">
        <v>1</v>
      </c>
      <c r="R27" s="29" t="s">
        <v>103</v>
      </c>
      <c r="S27" s="28" t="s">
        <v>111</v>
      </c>
    </row>
    <row r="28" spans="1:19" x14ac:dyDescent="0.3">
      <c r="A28" s="32" t="s">
        <v>24</v>
      </c>
      <c r="B28" s="1">
        <v>2</v>
      </c>
      <c r="C28" s="1">
        <v>2</v>
      </c>
      <c r="D28" s="1">
        <v>0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92</v>
      </c>
      <c r="M28" s="1" t="s">
        <v>91</v>
      </c>
      <c r="N28" s="1" t="s">
        <v>104</v>
      </c>
      <c r="O28" s="31">
        <v>14</v>
      </c>
      <c r="P28" s="20">
        <v>5</v>
      </c>
      <c r="Q28" s="30">
        <v>9</v>
      </c>
      <c r="R28" s="29" t="s">
        <v>103</v>
      </c>
      <c r="S28" s="28" t="s">
        <v>104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4</v>
      </c>
      <c r="C35" s="1">
        <v>3</v>
      </c>
      <c r="D35" s="1">
        <v>1</v>
      </c>
      <c r="E35" s="20">
        <v>0</v>
      </c>
      <c r="F35" s="33">
        <v>6</v>
      </c>
      <c r="G35" s="20">
        <v>3</v>
      </c>
      <c r="H35" s="20">
        <v>3</v>
      </c>
      <c r="I35" s="20">
        <v>0</v>
      </c>
      <c r="J35" s="20">
        <v>0</v>
      </c>
      <c r="K35" s="29" t="s">
        <v>98</v>
      </c>
      <c r="L35" s="1" t="s">
        <v>104</v>
      </c>
      <c r="M35" s="1" t="s">
        <v>105</v>
      </c>
      <c r="N35" s="1" t="s">
        <v>114</v>
      </c>
      <c r="O35" s="31">
        <v>17</v>
      </c>
      <c r="P35" s="20">
        <v>10</v>
      </c>
      <c r="Q35" s="30">
        <v>7</v>
      </c>
      <c r="R35" s="29" t="s">
        <v>103</v>
      </c>
      <c r="S35" s="28" t="s">
        <v>114</v>
      </c>
    </row>
    <row r="36" spans="1:19" x14ac:dyDescent="0.3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0</v>
      </c>
      <c r="K36" s="29" t="s">
        <v>99</v>
      </c>
      <c r="L36" s="1" t="s">
        <v>91</v>
      </c>
      <c r="M36" s="1" t="s">
        <v>111</v>
      </c>
      <c r="N36" s="1" t="s">
        <v>111</v>
      </c>
      <c r="O36" s="31">
        <v>17</v>
      </c>
      <c r="P36" s="20">
        <v>14</v>
      </c>
      <c r="Q36" s="30">
        <v>3</v>
      </c>
      <c r="R36" s="29" t="s">
        <v>103</v>
      </c>
      <c r="S36" s="28" t="s">
        <v>111</v>
      </c>
    </row>
    <row r="37" spans="1:19" x14ac:dyDescent="0.3">
      <c r="A37" s="32" t="s">
        <v>31</v>
      </c>
      <c r="B37" s="1">
        <v>2</v>
      </c>
      <c r="C37" s="1">
        <v>2</v>
      </c>
      <c r="D37" s="1">
        <v>0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91</v>
      </c>
      <c r="L37" s="1" t="s">
        <v>91</v>
      </c>
      <c r="M37" s="1" t="s">
        <v>91</v>
      </c>
      <c r="N37" s="1" t="s">
        <v>91</v>
      </c>
      <c r="O37" s="31">
        <v>7</v>
      </c>
      <c r="P37" s="20">
        <v>5</v>
      </c>
      <c r="Q37" s="30">
        <v>2</v>
      </c>
      <c r="R37" s="29" t="s">
        <v>103</v>
      </c>
      <c r="S37" s="28" t="s">
        <v>104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46D7555-18E2-4DAF-BD36-69C51F61B048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73801-B4AF-40CF-A18B-CC8093253FC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19</v>
      </c>
      <c r="B4" s="40">
        <v>4</v>
      </c>
      <c r="C4" s="40">
        <v>2</v>
      </c>
      <c r="D4" s="40">
        <v>0</v>
      </c>
      <c r="E4" s="38">
        <v>2</v>
      </c>
      <c r="F4" s="33">
        <v>6</v>
      </c>
      <c r="G4" s="39">
        <v>1</v>
      </c>
      <c r="H4" s="38">
        <v>2</v>
      </c>
      <c r="I4" s="38">
        <v>0</v>
      </c>
      <c r="J4" s="33">
        <v>0</v>
      </c>
      <c r="K4" s="37" t="s">
        <v>92</v>
      </c>
      <c r="L4" s="40" t="s">
        <v>118</v>
      </c>
      <c r="M4" s="40" t="s">
        <v>92</v>
      </c>
      <c r="N4" s="40" t="s">
        <v>91</v>
      </c>
      <c r="O4" s="39">
        <v>8</v>
      </c>
      <c r="P4" s="38">
        <v>8</v>
      </c>
      <c r="Q4" s="33">
        <v>0</v>
      </c>
      <c r="R4" s="37" t="s">
        <v>93</v>
      </c>
      <c r="S4" s="36" t="s">
        <v>118</v>
      </c>
    </row>
    <row r="5" spans="1:20" x14ac:dyDescent="0.3">
      <c r="A5" s="32" t="s">
        <v>29</v>
      </c>
      <c r="B5" s="1">
        <v>4</v>
      </c>
      <c r="C5" s="1">
        <v>2</v>
      </c>
      <c r="D5" s="1">
        <v>2</v>
      </c>
      <c r="E5" s="20">
        <v>0</v>
      </c>
      <c r="F5" s="30">
        <v>4</v>
      </c>
      <c r="G5" s="31">
        <v>1</v>
      </c>
      <c r="H5" s="20">
        <v>2</v>
      </c>
      <c r="I5" s="20">
        <v>0</v>
      </c>
      <c r="J5" s="30">
        <v>0</v>
      </c>
      <c r="K5" s="29" t="s">
        <v>98</v>
      </c>
      <c r="L5" s="1" t="s">
        <v>98</v>
      </c>
      <c r="M5" s="1" t="s">
        <v>95</v>
      </c>
      <c r="N5" s="1" t="s">
        <v>98</v>
      </c>
      <c r="O5" s="31">
        <v>9</v>
      </c>
      <c r="P5" s="20">
        <v>11</v>
      </c>
      <c r="Q5" s="30">
        <v>-2</v>
      </c>
      <c r="R5" s="29" t="s">
        <v>101</v>
      </c>
      <c r="S5" s="28" t="s">
        <v>115</v>
      </c>
    </row>
    <row r="6" spans="1:20" x14ac:dyDescent="0.3">
      <c r="A6" s="32" t="s">
        <v>28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1</v>
      </c>
      <c r="H6" s="20">
        <v>2</v>
      </c>
      <c r="I6" s="20">
        <v>0</v>
      </c>
      <c r="J6" s="30">
        <v>0</v>
      </c>
      <c r="K6" s="29" t="s">
        <v>104</v>
      </c>
      <c r="L6" s="1" t="s">
        <v>95</v>
      </c>
      <c r="M6" s="1" t="s">
        <v>92</v>
      </c>
      <c r="N6" s="1" t="s">
        <v>95</v>
      </c>
      <c r="O6" s="31">
        <v>10</v>
      </c>
      <c r="P6" s="20">
        <v>11</v>
      </c>
      <c r="Q6" s="30">
        <v>-1</v>
      </c>
      <c r="R6" s="29" t="s">
        <v>103</v>
      </c>
      <c r="S6" s="28" t="s">
        <v>105</v>
      </c>
    </row>
    <row r="7" spans="1:20" x14ac:dyDescent="0.3">
      <c r="A7" s="32" t="s">
        <v>11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92</v>
      </c>
      <c r="L7" s="1" t="s">
        <v>105</v>
      </c>
      <c r="M7" s="1" t="s">
        <v>105</v>
      </c>
      <c r="N7" s="1" t="s">
        <v>105</v>
      </c>
      <c r="O7" s="31">
        <v>10</v>
      </c>
      <c r="P7" s="20">
        <v>8</v>
      </c>
      <c r="Q7" s="30">
        <v>2</v>
      </c>
      <c r="R7" s="29" t="s">
        <v>96</v>
      </c>
      <c r="S7" s="28" t="s">
        <v>105</v>
      </c>
    </row>
    <row r="8" spans="1:20" x14ac:dyDescent="0.3">
      <c r="A8" s="32" t="s">
        <v>5</v>
      </c>
      <c r="B8" s="1">
        <v>3</v>
      </c>
      <c r="C8" s="1">
        <v>2</v>
      </c>
      <c r="D8" s="1">
        <v>1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104</v>
      </c>
      <c r="L8" s="1" t="s">
        <v>95</v>
      </c>
      <c r="M8" s="1" t="s">
        <v>92</v>
      </c>
      <c r="N8" s="1" t="s">
        <v>105</v>
      </c>
      <c r="O8" s="31">
        <v>8</v>
      </c>
      <c r="P8" s="20">
        <v>7</v>
      </c>
      <c r="Q8" s="30">
        <v>1</v>
      </c>
      <c r="R8" s="29" t="s">
        <v>103</v>
      </c>
      <c r="S8" s="28" t="s">
        <v>105</v>
      </c>
    </row>
    <row r="9" spans="1:20" x14ac:dyDescent="0.3">
      <c r="A9" s="32" t="s">
        <v>4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115</v>
      </c>
      <c r="L9" s="1" t="s">
        <v>92</v>
      </c>
      <c r="M9" s="1" t="s">
        <v>102</v>
      </c>
      <c r="N9" s="1" t="s">
        <v>106</v>
      </c>
      <c r="O9" s="31">
        <v>11</v>
      </c>
      <c r="P9" s="20">
        <v>11</v>
      </c>
      <c r="Q9" s="30">
        <v>0</v>
      </c>
      <c r="R9" s="29" t="s">
        <v>93</v>
      </c>
      <c r="S9" s="28" t="s">
        <v>115</v>
      </c>
    </row>
    <row r="10" spans="1:20" x14ac:dyDescent="0.3">
      <c r="A10" s="32" t="s">
        <v>16</v>
      </c>
      <c r="B10" s="1">
        <v>3</v>
      </c>
      <c r="C10" s="1">
        <v>1</v>
      </c>
      <c r="D10" s="1">
        <v>1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95</v>
      </c>
      <c r="L10" s="1" t="s">
        <v>99</v>
      </c>
      <c r="M10" s="1" t="s">
        <v>91</v>
      </c>
      <c r="N10" s="1" t="s">
        <v>107</v>
      </c>
      <c r="O10" s="31">
        <v>12</v>
      </c>
      <c r="P10" s="20">
        <v>14</v>
      </c>
      <c r="Q10" s="30">
        <v>-2</v>
      </c>
      <c r="R10" s="29" t="s">
        <v>101</v>
      </c>
      <c r="S10" s="28" t="s">
        <v>107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4</v>
      </c>
      <c r="C15" s="1">
        <v>2</v>
      </c>
      <c r="D15" s="1">
        <v>1</v>
      </c>
      <c r="E15" s="20">
        <v>1</v>
      </c>
      <c r="F15" s="30">
        <v>5</v>
      </c>
      <c r="G15" s="20">
        <v>1</v>
      </c>
      <c r="H15" s="20">
        <v>2</v>
      </c>
      <c r="I15" s="20">
        <v>0</v>
      </c>
      <c r="J15" s="20">
        <v>0</v>
      </c>
      <c r="K15" s="29" t="s">
        <v>100</v>
      </c>
      <c r="L15" s="1" t="s">
        <v>104</v>
      </c>
      <c r="M15" s="1" t="s">
        <v>98</v>
      </c>
      <c r="N15" s="1" t="s">
        <v>119</v>
      </c>
      <c r="O15" s="31">
        <v>11</v>
      </c>
      <c r="P15" s="20">
        <v>12</v>
      </c>
      <c r="Q15" s="30">
        <v>-1</v>
      </c>
      <c r="R15" s="29" t="s">
        <v>103</v>
      </c>
      <c r="S15" s="28" t="s">
        <v>119</v>
      </c>
    </row>
    <row r="16" spans="1:20" x14ac:dyDescent="0.3">
      <c r="A16" s="32" t="s">
        <v>9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1</v>
      </c>
      <c r="H16" s="20">
        <v>2</v>
      </c>
      <c r="I16" s="20">
        <v>0</v>
      </c>
      <c r="J16" s="20">
        <v>0</v>
      </c>
      <c r="K16" s="29" t="s">
        <v>98</v>
      </c>
      <c r="L16" s="1" t="s">
        <v>98</v>
      </c>
      <c r="M16" s="1" t="s">
        <v>98</v>
      </c>
      <c r="N16" s="1" t="s">
        <v>105</v>
      </c>
      <c r="O16" s="31">
        <v>18</v>
      </c>
      <c r="P16" s="20">
        <v>13</v>
      </c>
      <c r="Q16" s="30">
        <v>5</v>
      </c>
      <c r="R16" s="29" t="s">
        <v>101</v>
      </c>
      <c r="S16" s="28" t="s">
        <v>115</v>
      </c>
    </row>
    <row r="17" spans="1:19" x14ac:dyDescent="0.3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91</v>
      </c>
      <c r="L17" s="1" t="s">
        <v>98</v>
      </c>
      <c r="M17" s="1" t="s">
        <v>104</v>
      </c>
      <c r="N17" s="1" t="s">
        <v>105</v>
      </c>
      <c r="O17" s="31">
        <v>11</v>
      </c>
      <c r="P17" s="20">
        <v>8</v>
      </c>
      <c r="Q17" s="30">
        <v>3</v>
      </c>
      <c r="R17" s="29" t="s">
        <v>93</v>
      </c>
      <c r="S17" s="28" t="s">
        <v>105</v>
      </c>
    </row>
    <row r="18" spans="1:19" x14ac:dyDescent="0.3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98</v>
      </c>
      <c r="L18" s="1" t="s">
        <v>92</v>
      </c>
      <c r="M18" s="1" t="s">
        <v>92</v>
      </c>
      <c r="N18" s="1" t="s">
        <v>91</v>
      </c>
      <c r="O18" s="31">
        <v>7</v>
      </c>
      <c r="P18" s="20">
        <v>7</v>
      </c>
      <c r="Q18" s="30">
        <v>0</v>
      </c>
      <c r="R18" s="29" t="s">
        <v>96</v>
      </c>
      <c r="S18" s="28" t="s">
        <v>98</v>
      </c>
    </row>
    <row r="19" spans="1:19" x14ac:dyDescent="0.3">
      <c r="A19" s="32" t="s">
        <v>14</v>
      </c>
      <c r="B19" s="1">
        <v>3</v>
      </c>
      <c r="C19" s="1">
        <v>1</v>
      </c>
      <c r="D19" s="1">
        <v>2</v>
      </c>
      <c r="E19" s="20">
        <v>0</v>
      </c>
      <c r="F19" s="30">
        <v>2</v>
      </c>
      <c r="G19" s="20">
        <v>0</v>
      </c>
      <c r="H19" s="20">
        <v>1</v>
      </c>
      <c r="I19" s="20">
        <v>0</v>
      </c>
      <c r="J19" s="20">
        <v>0</v>
      </c>
      <c r="K19" s="29" t="s">
        <v>98</v>
      </c>
      <c r="L19" s="1" t="s">
        <v>95</v>
      </c>
      <c r="M19" s="1" t="s">
        <v>98</v>
      </c>
      <c r="N19" s="1" t="s">
        <v>98</v>
      </c>
      <c r="O19" s="31">
        <v>6</v>
      </c>
      <c r="P19" s="20">
        <v>13</v>
      </c>
      <c r="Q19" s="30">
        <v>-7</v>
      </c>
      <c r="R19" s="29" t="s">
        <v>101</v>
      </c>
      <c r="S19" s="28" t="s">
        <v>106</v>
      </c>
    </row>
    <row r="20" spans="1:19" x14ac:dyDescent="0.3">
      <c r="A20" s="32" t="s">
        <v>13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91</v>
      </c>
      <c r="L20" s="1" t="s">
        <v>102</v>
      </c>
      <c r="M20" s="1" t="s">
        <v>98</v>
      </c>
      <c r="N20" s="1" t="s">
        <v>106</v>
      </c>
      <c r="O20" s="31">
        <v>9</v>
      </c>
      <c r="P20" s="20">
        <v>7</v>
      </c>
      <c r="Q20" s="30">
        <v>2</v>
      </c>
      <c r="R20" s="29" t="s">
        <v>96</v>
      </c>
      <c r="S20" s="28" t="s">
        <v>106</v>
      </c>
    </row>
    <row r="21" spans="1:19" ht="15" thickBot="1" x14ac:dyDescent="0.35">
      <c r="A21" s="27" t="s">
        <v>10</v>
      </c>
      <c r="B21" s="26">
        <v>4</v>
      </c>
      <c r="C21" s="26">
        <v>0</v>
      </c>
      <c r="D21" s="26">
        <v>2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108</v>
      </c>
      <c r="N21" s="26" t="s">
        <v>116</v>
      </c>
      <c r="O21" s="25">
        <v>5</v>
      </c>
      <c r="P21" s="24">
        <v>17</v>
      </c>
      <c r="Q21" s="23">
        <v>-12</v>
      </c>
      <c r="R21" s="22" t="s">
        <v>117</v>
      </c>
      <c r="S21" s="21" t="s">
        <v>116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89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105</v>
      </c>
      <c r="M26" s="1" t="s">
        <v>91</v>
      </c>
      <c r="N26" s="1" t="s">
        <v>91</v>
      </c>
      <c r="O26" s="31">
        <v>17</v>
      </c>
      <c r="P26" s="20">
        <v>8</v>
      </c>
      <c r="Q26" s="30">
        <v>9</v>
      </c>
      <c r="R26" s="29" t="s">
        <v>93</v>
      </c>
      <c r="S26" s="28" t="s">
        <v>114</v>
      </c>
    </row>
    <row r="27" spans="1:19" x14ac:dyDescent="0.3">
      <c r="A27" s="32" t="s">
        <v>17</v>
      </c>
      <c r="B27" s="1">
        <v>3</v>
      </c>
      <c r="C27" s="1">
        <v>2</v>
      </c>
      <c r="D27" s="1">
        <v>0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91</v>
      </c>
      <c r="L27" s="1" t="s">
        <v>99</v>
      </c>
      <c r="M27" s="1" t="s">
        <v>91</v>
      </c>
      <c r="N27" s="1" t="s">
        <v>91</v>
      </c>
      <c r="O27" s="31">
        <v>9</v>
      </c>
      <c r="P27" s="20">
        <v>5</v>
      </c>
      <c r="Q27" s="30">
        <v>4</v>
      </c>
      <c r="R27" s="29" t="s">
        <v>96</v>
      </c>
      <c r="S27" s="28" t="s">
        <v>111</v>
      </c>
    </row>
    <row r="28" spans="1:19" x14ac:dyDescent="0.3">
      <c r="A28" s="32" t="s">
        <v>24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2</v>
      </c>
      <c r="H28" s="20">
        <v>2</v>
      </c>
      <c r="I28" s="20">
        <v>0</v>
      </c>
      <c r="J28" s="20">
        <v>0</v>
      </c>
      <c r="K28" s="29" t="s">
        <v>104</v>
      </c>
      <c r="L28" s="1" t="s">
        <v>95</v>
      </c>
      <c r="M28" s="1" t="s">
        <v>98</v>
      </c>
      <c r="N28" s="1" t="s">
        <v>105</v>
      </c>
      <c r="O28" s="31">
        <v>16</v>
      </c>
      <c r="P28" s="20">
        <v>8</v>
      </c>
      <c r="Q28" s="30">
        <v>8</v>
      </c>
      <c r="R28" s="29" t="s">
        <v>96</v>
      </c>
      <c r="S28" s="28" t="s">
        <v>105</v>
      </c>
    </row>
    <row r="29" spans="1:19" x14ac:dyDescent="0.3">
      <c r="A29" s="32" t="s">
        <v>15</v>
      </c>
      <c r="B29" s="1">
        <v>3</v>
      </c>
      <c r="C29" s="1">
        <v>1</v>
      </c>
      <c r="D29" s="1">
        <v>1</v>
      </c>
      <c r="E29" s="20">
        <v>1</v>
      </c>
      <c r="F29" s="30">
        <v>3</v>
      </c>
      <c r="G29" s="20">
        <v>1</v>
      </c>
      <c r="H29" s="20">
        <v>1</v>
      </c>
      <c r="I29" s="20">
        <v>0</v>
      </c>
      <c r="J29" s="20">
        <v>0</v>
      </c>
      <c r="K29" s="29" t="s">
        <v>98</v>
      </c>
      <c r="L29" s="1" t="s">
        <v>97</v>
      </c>
      <c r="M29" s="1" t="s">
        <v>98</v>
      </c>
      <c r="N29" s="1" t="s">
        <v>98</v>
      </c>
      <c r="O29" s="31">
        <v>7</v>
      </c>
      <c r="P29" s="20">
        <v>9</v>
      </c>
      <c r="Q29" s="30">
        <v>-2</v>
      </c>
      <c r="R29" s="29" t="s">
        <v>96</v>
      </c>
      <c r="S29" s="28" t="s">
        <v>107</v>
      </c>
    </row>
    <row r="30" spans="1:19" x14ac:dyDescent="0.3">
      <c r="A30" s="32" t="s">
        <v>25</v>
      </c>
      <c r="B30" s="1">
        <v>4</v>
      </c>
      <c r="C30" s="1">
        <v>1</v>
      </c>
      <c r="D30" s="1">
        <v>3</v>
      </c>
      <c r="E30" s="20">
        <v>0</v>
      </c>
      <c r="F30" s="30">
        <v>2</v>
      </c>
      <c r="G30" s="20">
        <v>1</v>
      </c>
      <c r="H30" s="20">
        <v>1</v>
      </c>
      <c r="I30" s="20">
        <v>0</v>
      </c>
      <c r="J30" s="20">
        <v>0</v>
      </c>
      <c r="K30" s="29" t="s">
        <v>91</v>
      </c>
      <c r="L30" s="1" t="s">
        <v>110</v>
      </c>
      <c r="M30" s="1" t="s">
        <v>98</v>
      </c>
      <c r="N30" s="1" t="s">
        <v>106</v>
      </c>
      <c r="O30" s="31">
        <v>9</v>
      </c>
      <c r="P30" s="20">
        <v>17</v>
      </c>
      <c r="Q30" s="30">
        <v>-8</v>
      </c>
      <c r="R30" s="29" t="s">
        <v>93</v>
      </c>
      <c r="S30" s="28" t="s">
        <v>123</v>
      </c>
    </row>
    <row r="31" spans="1:19" x14ac:dyDescent="0.3">
      <c r="A31" s="32" t="s">
        <v>22</v>
      </c>
      <c r="B31" s="1">
        <v>3</v>
      </c>
      <c r="C31" s="1">
        <v>1</v>
      </c>
      <c r="D31" s="1">
        <v>2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98</v>
      </c>
      <c r="L31" s="1" t="s">
        <v>95</v>
      </c>
      <c r="M31" s="1" t="s">
        <v>102</v>
      </c>
      <c r="N31" s="1" t="s">
        <v>106</v>
      </c>
      <c r="O31" s="31">
        <v>6</v>
      </c>
      <c r="P31" s="20">
        <v>6</v>
      </c>
      <c r="Q31" s="30">
        <v>0</v>
      </c>
      <c r="R31" s="29" t="s">
        <v>93</v>
      </c>
      <c r="S31" s="28" t="s">
        <v>106</v>
      </c>
    </row>
    <row r="32" spans="1:19" ht="15" thickBot="1" x14ac:dyDescent="0.35">
      <c r="A32" s="32" t="s">
        <v>6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92</v>
      </c>
      <c r="L32" s="1" t="s">
        <v>106</v>
      </c>
      <c r="M32" s="1" t="s">
        <v>106</v>
      </c>
      <c r="N32" s="1" t="s">
        <v>106</v>
      </c>
      <c r="O32" s="31">
        <v>7</v>
      </c>
      <c r="P32" s="20">
        <v>10</v>
      </c>
      <c r="Q32" s="30">
        <v>-3</v>
      </c>
      <c r="R32" s="29" t="s">
        <v>101</v>
      </c>
      <c r="S32" s="28" t="s">
        <v>106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20</v>
      </c>
      <c r="B35" s="1">
        <v>4</v>
      </c>
      <c r="C35" s="1">
        <v>3</v>
      </c>
      <c r="D35" s="1">
        <v>0</v>
      </c>
      <c r="E35" s="20">
        <v>1</v>
      </c>
      <c r="F35" s="33">
        <v>7</v>
      </c>
      <c r="G35" s="20">
        <v>3</v>
      </c>
      <c r="H35" s="20">
        <v>3</v>
      </c>
      <c r="I35" s="20">
        <v>0</v>
      </c>
      <c r="J35" s="20">
        <v>0</v>
      </c>
      <c r="K35" s="29" t="s">
        <v>99</v>
      </c>
      <c r="L35" s="1" t="s">
        <v>104</v>
      </c>
      <c r="M35" s="1" t="s">
        <v>125</v>
      </c>
      <c r="N35" s="1" t="s">
        <v>125</v>
      </c>
      <c r="O35" s="31">
        <v>22</v>
      </c>
      <c r="P35" s="20">
        <v>16</v>
      </c>
      <c r="Q35" s="30">
        <v>6</v>
      </c>
      <c r="R35" s="29" t="s">
        <v>113</v>
      </c>
      <c r="S35" s="28" t="s">
        <v>125</v>
      </c>
    </row>
    <row r="36" spans="1:19" x14ac:dyDescent="0.3">
      <c r="A36" s="32" t="s">
        <v>2</v>
      </c>
      <c r="B36" s="1">
        <v>4</v>
      </c>
      <c r="C36" s="1">
        <v>3</v>
      </c>
      <c r="D36" s="1">
        <v>1</v>
      </c>
      <c r="E36" s="20">
        <v>0</v>
      </c>
      <c r="F36" s="30">
        <v>6</v>
      </c>
      <c r="G36" s="20">
        <v>3</v>
      </c>
      <c r="H36" s="20">
        <v>3</v>
      </c>
      <c r="I36" s="20">
        <v>0</v>
      </c>
      <c r="J36" s="20">
        <v>0</v>
      </c>
      <c r="K36" s="29" t="s">
        <v>98</v>
      </c>
      <c r="L36" s="1" t="s">
        <v>104</v>
      </c>
      <c r="M36" s="1" t="s">
        <v>105</v>
      </c>
      <c r="N36" s="1" t="s">
        <v>114</v>
      </c>
      <c r="O36" s="31">
        <v>17</v>
      </c>
      <c r="P36" s="20">
        <v>10</v>
      </c>
      <c r="Q36" s="30">
        <v>7</v>
      </c>
      <c r="R36" s="29" t="s">
        <v>103</v>
      </c>
      <c r="S36" s="28" t="s">
        <v>114</v>
      </c>
    </row>
    <row r="37" spans="1:19" x14ac:dyDescent="0.3">
      <c r="A37" s="32" t="s">
        <v>31</v>
      </c>
      <c r="B37" s="1">
        <v>3</v>
      </c>
      <c r="C37" s="1">
        <v>2</v>
      </c>
      <c r="D37" s="1">
        <v>1</v>
      </c>
      <c r="E37" s="20">
        <v>0</v>
      </c>
      <c r="F37" s="30">
        <v>4</v>
      </c>
      <c r="G37" s="20">
        <v>1</v>
      </c>
      <c r="H37" s="20">
        <v>2</v>
      </c>
      <c r="I37" s="20">
        <v>0</v>
      </c>
      <c r="J37" s="20">
        <v>0</v>
      </c>
      <c r="K37" s="29" t="s">
        <v>98</v>
      </c>
      <c r="L37" s="1" t="s">
        <v>91</v>
      </c>
      <c r="M37" s="1" t="s">
        <v>98</v>
      </c>
      <c r="N37" s="1" t="s">
        <v>98</v>
      </c>
      <c r="O37" s="31">
        <v>9</v>
      </c>
      <c r="P37" s="20">
        <v>10</v>
      </c>
      <c r="Q37" s="30">
        <v>-1</v>
      </c>
      <c r="R37" s="29" t="s">
        <v>96</v>
      </c>
      <c r="S37" s="28" t="s">
        <v>105</v>
      </c>
    </row>
    <row r="38" spans="1:19" x14ac:dyDescent="0.3">
      <c r="A38" s="32" t="s">
        <v>8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0</v>
      </c>
      <c r="H38" s="20">
        <v>2</v>
      </c>
      <c r="I38" s="20">
        <v>0</v>
      </c>
      <c r="J38" s="20">
        <v>0</v>
      </c>
      <c r="K38" s="29" t="s">
        <v>104</v>
      </c>
      <c r="L38" s="1" t="s">
        <v>95</v>
      </c>
      <c r="M38" s="1" t="s">
        <v>91</v>
      </c>
      <c r="N38" s="1" t="s">
        <v>98</v>
      </c>
      <c r="O38" s="31">
        <v>9</v>
      </c>
      <c r="P38" s="20">
        <v>12</v>
      </c>
      <c r="Q38" s="30">
        <v>-3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4</v>
      </c>
      <c r="C40" s="1">
        <v>2</v>
      </c>
      <c r="D40" s="1">
        <v>2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91</v>
      </c>
      <c r="M40" s="1" t="s">
        <v>115</v>
      </c>
      <c r="N40" s="1" t="s">
        <v>115</v>
      </c>
      <c r="O40" s="31">
        <v>19</v>
      </c>
      <c r="P40" s="20">
        <v>18</v>
      </c>
      <c r="Q40" s="30">
        <v>1</v>
      </c>
      <c r="R40" s="29" t="s">
        <v>96</v>
      </c>
      <c r="S40" s="28" t="s">
        <v>115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3</v>
      </c>
      <c r="C42" s="26">
        <v>0</v>
      </c>
      <c r="D42" s="26">
        <v>3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95</v>
      </c>
      <c r="L42" s="26" t="s">
        <v>102</v>
      </c>
      <c r="M42" s="26" t="s">
        <v>110</v>
      </c>
      <c r="N42" s="26" t="s">
        <v>110</v>
      </c>
      <c r="O42" s="25">
        <v>3</v>
      </c>
      <c r="P42" s="24">
        <v>16</v>
      </c>
      <c r="Q42" s="23">
        <v>-13</v>
      </c>
      <c r="R42" s="22" t="s">
        <v>109</v>
      </c>
      <c r="S42" s="21" t="s">
        <v>110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1E3A06F-AE2E-4DA2-8A38-DAD99825E1AB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FAE8C-8A43-4120-A0CE-40B5768A3042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3</v>
      </c>
      <c r="C11" s="1">
        <v>1</v>
      </c>
      <c r="D11" s="1">
        <v>2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106</v>
      </c>
      <c r="L11" s="1" t="s">
        <v>92</v>
      </c>
      <c r="M11" s="1" t="s">
        <v>91</v>
      </c>
      <c r="N11" s="1" t="s">
        <v>98</v>
      </c>
      <c r="O11" s="31">
        <v>7</v>
      </c>
      <c r="P11" s="20">
        <v>8</v>
      </c>
      <c r="Q11" s="30">
        <v>-1</v>
      </c>
      <c r="R11" s="29" t="s">
        <v>93</v>
      </c>
      <c r="S11" s="28" t="s">
        <v>106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5</v>
      </c>
      <c r="C14" s="1">
        <v>4</v>
      </c>
      <c r="D14" s="1">
        <v>1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98</v>
      </c>
      <c r="M14" s="1" t="s">
        <v>91</v>
      </c>
      <c r="N14" s="1" t="s">
        <v>114</v>
      </c>
      <c r="O14" s="31">
        <v>16</v>
      </c>
      <c r="P14" s="20">
        <v>8</v>
      </c>
      <c r="Q14" s="30">
        <v>8</v>
      </c>
      <c r="R14" s="29" t="s">
        <v>121</v>
      </c>
      <c r="S14" s="28" t="s">
        <v>122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13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104</v>
      </c>
      <c r="L16" s="1" t="s">
        <v>102</v>
      </c>
      <c r="M16" s="1" t="s">
        <v>98</v>
      </c>
      <c r="N16" s="1" t="s">
        <v>106</v>
      </c>
      <c r="O16" s="31">
        <v>13</v>
      </c>
      <c r="P16" s="20">
        <v>8</v>
      </c>
      <c r="Q16" s="30">
        <v>5</v>
      </c>
      <c r="R16" s="29" t="s">
        <v>93</v>
      </c>
      <c r="S16" s="28" t="s">
        <v>115</v>
      </c>
    </row>
    <row r="17" spans="1:19" x14ac:dyDescent="0.3">
      <c r="A17" s="32" t="s">
        <v>9</v>
      </c>
      <c r="B17" s="1">
        <v>4</v>
      </c>
      <c r="C17" s="1">
        <v>2</v>
      </c>
      <c r="D17" s="1">
        <v>2</v>
      </c>
      <c r="E17" s="20">
        <v>0</v>
      </c>
      <c r="F17" s="30">
        <v>4</v>
      </c>
      <c r="G17" s="20">
        <v>1</v>
      </c>
      <c r="H17" s="20">
        <v>2</v>
      </c>
      <c r="I17" s="20">
        <v>0</v>
      </c>
      <c r="J17" s="20">
        <v>0</v>
      </c>
      <c r="K17" s="29" t="s">
        <v>98</v>
      </c>
      <c r="L17" s="1" t="s">
        <v>98</v>
      </c>
      <c r="M17" s="1" t="s">
        <v>98</v>
      </c>
      <c r="N17" s="1" t="s">
        <v>105</v>
      </c>
      <c r="O17" s="31">
        <v>18</v>
      </c>
      <c r="P17" s="20">
        <v>13</v>
      </c>
      <c r="Q17" s="30">
        <v>5</v>
      </c>
      <c r="R17" s="29" t="s">
        <v>101</v>
      </c>
      <c r="S17" s="28" t="s">
        <v>115</v>
      </c>
    </row>
    <row r="18" spans="1:19" x14ac:dyDescent="0.3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91</v>
      </c>
      <c r="L18" s="1" t="s">
        <v>98</v>
      </c>
      <c r="M18" s="1" t="s">
        <v>104</v>
      </c>
      <c r="N18" s="1" t="s">
        <v>105</v>
      </c>
      <c r="O18" s="31">
        <v>11</v>
      </c>
      <c r="P18" s="20">
        <v>8</v>
      </c>
      <c r="Q18" s="30">
        <v>3</v>
      </c>
      <c r="R18" s="29" t="s">
        <v>93</v>
      </c>
      <c r="S18" s="28" t="s">
        <v>105</v>
      </c>
    </row>
    <row r="19" spans="1:19" x14ac:dyDescent="0.3">
      <c r="A19" s="32" t="s">
        <v>23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92</v>
      </c>
      <c r="M19" s="1" t="s">
        <v>92</v>
      </c>
      <c r="N19" s="1" t="s">
        <v>91</v>
      </c>
      <c r="O19" s="31">
        <v>7</v>
      </c>
      <c r="P19" s="20">
        <v>7</v>
      </c>
      <c r="Q19" s="30">
        <v>0</v>
      </c>
      <c r="R19" s="29" t="s">
        <v>96</v>
      </c>
      <c r="S19" s="28" t="s">
        <v>98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99</v>
      </c>
      <c r="L25" s="1" t="s">
        <v>104</v>
      </c>
      <c r="M25" s="1" t="s">
        <v>91</v>
      </c>
      <c r="N25" s="1" t="s">
        <v>91</v>
      </c>
      <c r="O25" s="31">
        <v>12</v>
      </c>
      <c r="P25" s="20">
        <v>10</v>
      </c>
      <c r="Q25" s="30">
        <v>2</v>
      </c>
      <c r="R25" s="29" t="s">
        <v>113</v>
      </c>
      <c r="S25" s="28" t="s">
        <v>125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8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0</v>
      </c>
      <c r="H37" s="20">
        <v>3</v>
      </c>
      <c r="I37" s="20">
        <v>0</v>
      </c>
      <c r="J37" s="20">
        <v>0</v>
      </c>
      <c r="K37" s="29" t="s">
        <v>104</v>
      </c>
      <c r="L37" s="1" t="s">
        <v>98</v>
      </c>
      <c r="M37" s="1" t="s">
        <v>91</v>
      </c>
      <c r="N37" s="1" t="s">
        <v>105</v>
      </c>
      <c r="O37" s="31">
        <v>12</v>
      </c>
      <c r="P37" s="20">
        <v>14</v>
      </c>
      <c r="Q37" s="30">
        <v>-2</v>
      </c>
      <c r="R37" s="29" t="s">
        <v>93</v>
      </c>
      <c r="S37" s="28" t="s">
        <v>114</v>
      </c>
    </row>
    <row r="38" spans="1:19" x14ac:dyDescent="0.3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91</v>
      </c>
      <c r="M38" s="1" t="s">
        <v>98</v>
      </c>
      <c r="N38" s="1" t="s">
        <v>98</v>
      </c>
      <c r="O38" s="31">
        <v>9</v>
      </c>
      <c r="P38" s="20">
        <v>10</v>
      </c>
      <c r="Q38" s="30">
        <v>-1</v>
      </c>
      <c r="R38" s="29" t="s">
        <v>96</v>
      </c>
      <c r="S38" s="28" t="s">
        <v>105</v>
      </c>
    </row>
    <row r="39" spans="1:19" x14ac:dyDescent="0.3">
      <c r="A39" s="32" t="s">
        <v>7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98</v>
      </c>
      <c r="L39" s="1" t="s">
        <v>98</v>
      </c>
      <c r="M39" s="1" t="s">
        <v>115</v>
      </c>
      <c r="N39" s="1" t="s">
        <v>115</v>
      </c>
      <c r="O39" s="31">
        <v>15</v>
      </c>
      <c r="P39" s="20">
        <v>11</v>
      </c>
      <c r="Q39" s="30">
        <v>4</v>
      </c>
      <c r="R39" s="29" t="s">
        <v>96</v>
      </c>
      <c r="S39" s="28" t="s">
        <v>115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33B3786-B4B3-48C4-B57E-6430EC3A963B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DE631-B344-452B-9E92-1E59F129952F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5</v>
      </c>
      <c r="C4" s="40">
        <v>3</v>
      </c>
      <c r="D4" s="40">
        <v>2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95</v>
      </c>
      <c r="N4" s="40" t="s">
        <v>98</v>
      </c>
      <c r="O4" s="39">
        <v>15</v>
      </c>
      <c r="P4" s="38">
        <v>12</v>
      </c>
      <c r="Q4" s="33">
        <v>3</v>
      </c>
      <c r="R4" s="37" t="s">
        <v>93</v>
      </c>
      <c r="S4" s="36" t="s">
        <v>126</v>
      </c>
    </row>
    <row r="5" spans="1:20" x14ac:dyDescent="0.3">
      <c r="A5" s="32" t="s">
        <v>19</v>
      </c>
      <c r="B5" s="1">
        <v>4</v>
      </c>
      <c r="C5" s="1">
        <v>2</v>
      </c>
      <c r="D5" s="1">
        <v>0</v>
      </c>
      <c r="E5" s="20">
        <v>2</v>
      </c>
      <c r="F5" s="30">
        <v>6</v>
      </c>
      <c r="G5" s="31">
        <v>1</v>
      </c>
      <c r="H5" s="20">
        <v>2</v>
      </c>
      <c r="I5" s="20">
        <v>0</v>
      </c>
      <c r="J5" s="30">
        <v>0</v>
      </c>
      <c r="K5" s="29" t="s">
        <v>92</v>
      </c>
      <c r="L5" s="1" t="s">
        <v>118</v>
      </c>
      <c r="M5" s="1" t="s">
        <v>92</v>
      </c>
      <c r="N5" s="1" t="s">
        <v>91</v>
      </c>
      <c r="O5" s="31">
        <v>8</v>
      </c>
      <c r="P5" s="20">
        <v>8</v>
      </c>
      <c r="Q5" s="30">
        <v>0</v>
      </c>
      <c r="R5" s="29" t="s">
        <v>93</v>
      </c>
      <c r="S5" s="28" t="s">
        <v>118</v>
      </c>
    </row>
    <row r="6" spans="1:20" x14ac:dyDescent="0.3">
      <c r="A6" s="32" t="s">
        <v>11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91</v>
      </c>
      <c r="L6" s="1" t="s">
        <v>105</v>
      </c>
      <c r="M6" s="1" t="s">
        <v>105</v>
      </c>
      <c r="N6" s="1" t="s">
        <v>114</v>
      </c>
      <c r="O6" s="31">
        <v>12</v>
      </c>
      <c r="P6" s="20">
        <v>9</v>
      </c>
      <c r="Q6" s="30">
        <v>3</v>
      </c>
      <c r="R6" s="29" t="s">
        <v>93</v>
      </c>
      <c r="S6" s="28" t="s">
        <v>114</v>
      </c>
    </row>
    <row r="7" spans="1:20" x14ac:dyDescent="0.3">
      <c r="A7" s="32" t="s">
        <v>5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120</v>
      </c>
      <c r="L7" s="1" t="s">
        <v>95</v>
      </c>
      <c r="M7" s="1" t="s">
        <v>92</v>
      </c>
      <c r="N7" s="1" t="s">
        <v>105</v>
      </c>
      <c r="O7" s="31">
        <v>11</v>
      </c>
      <c r="P7" s="20">
        <v>9</v>
      </c>
      <c r="Q7" s="30">
        <v>2</v>
      </c>
      <c r="R7" s="29" t="s">
        <v>113</v>
      </c>
      <c r="S7" s="28" t="s">
        <v>114</v>
      </c>
    </row>
    <row r="8" spans="1:20" x14ac:dyDescent="0.3">
      <c r="A8" s="32" t="s">
        <v>4</v>
      </c>
      <c r="B8" s="1">
        <v>5</v>
      </c>
      <c r="C8" s="1">
        <v>2</v>
      </c>
      <c r="D8" s="1">
        <v>2</v>
      </c>
      <c r="E8" s="20">
        <v>1</v>
      </c>
      <c r="F8" s="30">
        <v>5</v>
      </c>
      <c r="G8" s="31">
        <v>1</v>
      </c>
      <c r="H8" s="20">
        <v>2</v>
      </c>
      <c r="I8" s="20">
        <v>0</v>
      </c>
      <c r="J8" s="30">
        <v>1</v>
      </c>
      <c r="K8" s="29" t="s">
        <v>115</v>
      </c>
      <c r="L8" s="1" t="s">
        <v>97</v>
      </c>
      <c r="M8" s="1" t="s">
        <v>102</v>
      </c>
      <c r="N8" s="1" t="s">
        <v>106</v>
      </c>
      <c r="O8" s="31">
        <v>14</v>
      </c>
      <c r="P8" s="20">
        <v>15</v>
      </c>
      <c r="Q8" s="30">
        <v>-1</v>
      </c>
      <c r="R8" s="29" t="s">
        <v>96</v>
      </c>
      <c r="S8" s="28" t="s">
        <v>128</v>
      </c>
    </row>
    <row r="9" spans="1:20" x14ac:dyDescent="0.3">
      <c r="A9" s="32" t="s">
        <v>28</v>
      </c>
      <c r="B9" s="1">
        <v>4</v>
      </c>
      <c r="C9" s="1">
        <v>2</v>
      </c>
      <c r="D9" s="1">
        <v>2</v>
      </c>
      <c r="E9" s="20">
        <v>0</v>
      </c>
      <c r="F9" s="30">
        <v>4</v>
      </c>
      <c r="G9" s="31">
        <v>1</v>
      </c>
      <c r="H9" s="20">
        <v>2</v>
      </c>
      <c r="I9" s="20">
        <v>0</v>
      </c>
      <c r="J9" s="30">
        <v>0</v>
      </c>
      <c r="K9" s="29" t="s">
        <v>105</v>
      </c>
      <c r="L9" s="1" t="s">
        <v>95</v>
      </c>
      <c r="M9" s="1" t="s">
        <v>92</v>
      </c>
      <c r="N9" s="1" t="s">
        <v>95</v>
      </c>
      <c r="O9" s="31">
        <v>10</v>
      </c>
      <c r="P9" s="20">
        <v>15</v>
      </c>
      <c r="Q9" s="30">
        <v>-5</v>
      </c>
      <c r="R9" s="29" t="s">
        <v>96</v>
      </c>
      <c r="S9" s="28" t="s">
        <v>115</v>
      </c>
    </row>
    <row r="10" spans="1:20" x14ac:dyDescent="0.3">
      <c r="A10" s="32" t="s">
        <v>16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102</v>
      </c>
      <c r="L10" s="1" t="s">
        <v>99</v>
      </c>
      <c r="M10" s="1" t="s">
        <v>91</v>
      </c>
      <c r="N10" s="1" t="s">
        <v>107</v>
      </c>
      <c r="O10" s="31">
        <v>14</v>
      </c>
      <c r="P10" s="20">
        <v>19</v>
      </c>
      <c r="Q10" s="30">
        <v>-5</v>
      </c>
      <c r="R10" s="29" t="s">
        <v>109</v>
      </c>
      <c r="S10" s="28" t="s">
        <v>127</v>
      </c>
    </row>
    <row r="11" spans="1:20" ht="15" thickBot="1" x14ac:dyDescent="0.35">
      <c r="A11" s="32" t="s">
        <v>21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123</v>
      </c>
      <c r="L11" s="1" t="s">
        <v>92</v>
      </c>
      <c r="M11" s="1" t="s">
        <v>91</v>
      </c>
      <c r="N11" s="1" t="s">
        <v>98</v>
      </c>
      <c r="O11" s="31">
        <v>10</v>
      </c>
      <c r="P11" s="20">
        <v>14</v>
      </c>
      <c r="Q11" s="30">
        <v>-4</v>
      </c>
      <c r="R11" s="29" t="s">
        <v>96</v>
      </c>
      <c r="S11" s="28" t="s">
        <v>123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12</v>
      </c>
      <c r="B14" s="1">
        <v>6</v>
      </c>
      <c r="C14" s="1">
        <v>4</v>
      </c>
      <c r="D14" s="1">
        <v>2</v>
      </c>
      <c r="E14" s="20">
        <v>0</v>
      </c>
      <c r="F14" s="33">
        <v>8</v>
      </c>
      <c r="G14" s="20">
        <v>4</v>
      </c>
      <c r="H14" s="20">
        <v>4</v>
      </c>
      <c r="I14" s="20">
        <v>0</v>
      </c>
      <c r="J14" s="20">
        <v>0</v>
      </c>
      <c r="K14" s="29" t="s">
        <v>120</v>
      </c>
      <c r="L14" s="1" t="s">
        <v>106</v>
      </c>
      <c r="M14" s="1" t="s">
        <v>98</v>
      </c>
      <c r="N14" s="1" t="s">
        <v>126</v>
      </c>
      <c r="O14" s="31">
        <v>17</v>
      </c>
      <c r="P14" s="20">
        <v>11</v>
      </c>
      <c r="Q14" s="30">
        <v>6</v>
      </c>
      <c r="R14" s="29" t="s">
        <v>96</v>
      </c>
      <c r="S14" s="28" t="s">
        <v>135</v>
      </c>
    </row>
    <row r="15" spans="1:20" x14ac:dyDescent="0.3">
      <c r="A15" s="32" t="s">
        <v>26</v>
      </c>
      <c r="B15" s="1">
        <v>5</v>
      </c>
      <c r="C15" s="1">
        <v>3</v>
      </c>
      <c r="D15" s="1">
        <v>1</v>
      </c>
      <c r="E15" s="20">
        <v>1</v>
      </c>
      <c r="F15" s="30">
        <v>7</v>
      </c>
      <c r="G15" s="20">
        <v>2</v>
      </c>
      <c r="H15" s="20">
        <v>3</v>
      </c>
      <c r="I15" s="20">
        <v>0</v>
      </c>
      <c r="J15" s="20">
        <v>0</v>
      </c>
      <c r="K15" s="29" t="s">
        <v>107</v>
      </c>
      <c r="L15" s="1" t="s">
        <v>104</v>
      </c>
      <c r="M15" s="1" t="s">
        <v>98</v>
      </c>
      <c r="N15" s="1" t="s">
        <v>119</v>
      </c>
      <c r="O15" s="31">
        <v>18</v>
      </c>
      <c r="P15" s="20">
        <v>14</v>
      </c>
      <c r="Q15" s="30">
        <v>4</v>
      </c>
      <c r="R15" s="29" t="s">
        <v>113</v>
      </c>
      <c r="S15" s="28" t="s">
        <v>129</v>
      </c>
    </row>
    <row r="16" spans="1:20" x14ac:dyDescent="0.3">
      <c r="A16" s="32" t="s">
        <v>1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104</v>
      </c>
      <c r="L16" s="1" t="s">
        <v>98</v>
      </c>
      <c r="M16" s="1" t="s">
        <v>120</v>
      </c>
      <c r="N16" s="1" t="s">
        <v>114</v>
      </c>
      <c r="O16" s="31">
        <v>14</v>
      </c>
      <c r="P16" s="20">
        <v>9</v>
      </c>
      <c r="Q16" s="30">
        <v>5</v>
      </c>
      <c r="R16" s="29" t="s">
        <v>103</v>
      </c>
      <c r="S16" s="28" t="s">
        <v>114</v>
      </c>
    </row>
    <row r="17" spans="1:19" x14ac:dyDescent="0.3">
      <c r="A17" s="32" t="s">
        <v>9</v>
      </c>
      <c r="B17" s="1">
        <v>5</v>
      </c>
      <c r="C17" s="1">
        <v>2</v>
      </c>
      <c r="D17" s="1">
        <v>2</v>
      </c>
      <c r="E17" s="20">
        <v>1</v>
      </c>
      <c r="F17" s="30">
        <v>5</v>
      </c>
      <c r="G17" s="20">
        <v>1</v>
      </c>
      <c r="H17" s="20">
        <v>2</v>
      </c>
      <c r="I17" s="20">
        <v>0</v>
      </c>
      <c r="J17" s="20">
        <v>1</v>
      </c>
      <c r="K17" s="29" t="s">
        <v>98</v>
      </c>
      <c r="L17" s="1" t="s">
        <v>107</v>
      </c>
      <c r="M17" s="1" t="s">
        <v>107</v>
      </c>
      <c r="N17" s="1" t="s">
        <v>119</v>
      </c>
      <c r="O17" s="31">
        <v>20</v>
      </c>
      <c r="P17" s="20">
        <v>16</v>
      </c>
      <c r="Q17" s="30">
        <v>4</v>
      </c>
      <c r="R17" s="29" t="s">
        <v>109</v>
      </c>
      <c r="S17" s="28" t="s">
        <v>128</v>
      </c>
    </row>
    <row r="18" spans="1:19" x14ac:dyDescent="0.3">
      <c r="A18" s="32" t="s">
        <v>23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92</v>
      </c>
      <c r="M18" s="1" t="s">
        <v>91</v>
      </c>
      <c r="N18" s="1" t="s">
        <v>104</v>
      </c>
      <c r="O18" s="31">
        <v>10</v>
      </c>
      <c r="P18" s="20">
        <v>9</v>
      </c>
      <c r="Q18" s="30">
        <v>1</v>
      </c>
      <c r="R18" s="29" t="s">
        <v>93</v>
      </c>
      <c r="S18" s="28" t="s">
        <v>105</v>
      </c>
    </row>
    <row r="19" spans="1:19" x14ac:dyDescent="0.3">
      <c r="A19" s="32" t="s">
        <v>13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2</v>
      </c>
      <c r="H19" s="20">
        <v>2</v>
      </c>
      <c r="I19" s="20">
        <v>0</v>
      </c>
      <c r="J19" s="20">
        <v>0</v>
      </c>
      <c r="K19" s="29" t="s">
        <v>104</v>
      </c>
      <c r="L19" s="1" t="s">
        <v>102</v>
      </c>
      <c r="M19" s="1" t="s">
        <v>98</v>
      </c>
      <c r="N19" s="1" t="s">
        <v>106</v>
      </c>
      <c r="O19" s="31">
        <v>13</v>
      </c>
      <c r="P19" s="20">
        <v>8</v>
      </c>
      <c r="Q19" s="30">
        <v>5</v>
      </c>
      <c r="R19" s="29" t="s">
        <v>93</v>
      </c>
      <c r="S19" s="28" t="s">
        <v>115</v>
      </c>
    </row>
    <row r="20" spans="1:19" x14ac:dyDescent="0.3">
      <c r="A20" s="32" t="s">
        <v>14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0</v>
      </c>
      <c r="H20" s="20">
        <v>1</v>
      </c>
      <c r="I20" s="20">
        <v>0</v>
      </c>
      <c r="J20" s="20">
        <v>0</v>
      </c>
      <c r="K20" s="29" t="s">
        <v>98</v>
      </c>
      <c r="L20" s="1" t="s">
        <v>95</v>
      </c>
      <c r="M20" s="1" t="s">
        <v>98</v>
      </c>
      <c r="N20" s="1" t="s">
        <v>98</v>
      </c>
      <c r="O20" s="31">
        <v>6</v>
      </c>
      <c r="P20" s="20">
        <v>13</v>
      </c>
      <c r="Q20" s="30">
        <v>-7</v>
      </c>
      <c r="R20" s="29" t="s">
        <v>101</v>
      </c>
      <c r="S20" s="28" t="s">
        <v>106</v>
      </c>
    </row>
    <row r="21" spans="1:19" ht="15" thickBot="1" x14ac:dyDescent="0.35">
      <c r="A21" s="27" t="s">
        <v>10</v>
      </c>
      <c r="B21" s="26">
        <v>5</v>
      </c>
      <c r="C21" s="26">
        <v>0</v>
      </c>
      <c r="D21" s="26">
        <v>3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124</v>
      </c>
      <c r="M21" s="26" t="s">
        <v>108</v>
      </c>
      <c r="N21" s="26" t="s">
        <v>130</v>
      </c>
      <c r="O21" s="25">
        <v>6</v>
      </c>
      <c r="P21" s="24">
        <v>19</v>
      </c>
      <c r="Q21" s="23">
        <v>-13</v>
      </c>
      <c r="R21" s="22" t="s">
        <v>131</v>
      </c>
      <c r="S21" s="21" t="s">
        <v>130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0</v>
      </c>
      <c r="B25" s="1">
        <v>5</v>
      </c>
      <c r="C25" s="1">
        <v>3</v>
      </c>
      <c r="D25" s="1">
        <v>1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0</v>
      </c>
      <c r="K25" s="29" t="s">
        <v>107</v>
      </c>
      <c r="L25" s="1" t="s">
        <v>104</v>
      </c>
      <c r="M25" s="1" t="s">
        <v>91</v>
      </c>
      <c r="N25" s="1" t="s">
        <v>98</v>
      </c>
      <c r="O25" s="31">
        <v>13</v>
      </c>
      <c r="P25" s="20">
        <v>15</v>
      </c>
      <c r="Q25" s="30">
        <v>-2</v>
      </c>
      <c r="R25" s="29" t="s">
        <v>96</v>
      </c>
      <c r="S25" s="28" t="s">
        <v>129</v>
      </c>
    </row>
    <row r="26" spans="1:19" x14ac:dyDescent="0.3">
      <c r="A26" s="32" t="s">
        <v>24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3</v>
      </c>
      <c r="H26" s="20">
        <v>3</v>
      </c>
      <c r="I26" s="20">
        <v>0</v>
      </c>
      <c r="J26" s="20">
        <v>0</v>
      </c>
      <c r="K26" s="29" t="s">
        <v>104</v>
      </c>
      <c r="L26" s="1" t="s">
        <v>98</v>
      </c>
      <c r="M26" s="1" t="s">
        <v>98</v>
      </c>
      <c r="N26" s="1" t="s">
        <v>114</v>
      </c>
      <c r="O26" s="31">
        <v>23</v>
      </c>
      <c r="P26" s="20">
        <v>11</v>
      </c>
      <c r="Q26" s="30">
        <v>12</v>
      </c>
      <c r="R26" s="29" t="s">
        <v>93</v>
      </c>
      <c r="S26" s="28" t="s">
        <v>114</v>
      </c>
    </row>
    <row r="27" spans="1:19" x14ac:dyDescent="0.3">
      <c r="A27" s="32" t="s">
        <v>89</v>
      </c>
      <c r="B27" s="1">
        <v>5</v>
      </c>
      <c r="C27" s="1">
        <v>3</v>
      </c>
      <c r="D27" s="1">
        <v>2</v>
      </c>
      <c r="E27" s="20">
        <v>0</v>
      </c>
      <c r="F27" s="30">
        <v>6</v>
      </c>
      <c r="G27" s="20">
        <v>3</v>
      </c>
      <c r="H27" s="20">
        <v>3</v>
      </c>
      <c r="I27" s="20">
        <v>0</v>
      </c>
      <c r="J27" s="20">
        <v>0</v>
      </c>
      <c r="K27" s="29" t="s">
        <v>91</v>
      </c>
      <c r="L27" s="1" t="s">
        <v>115</v>
      </c>
      <c r="M27" s="1" t="s">
        <v>91</v>
      </c>
      <c r="N27" s="1" t="s">
        <v>91</v>
      </c>
      <c r="O27" s="31">
        <v>18</v>
      </c>
      <c r="P27" s="20">
        <v>14</v>
      </c>
      <c r="Q27" s="30">
        <v>4</v>
      </c>
      <c r="R27" s="29" t="s">
        <v>96</v>
      </c>
      <c r="S27" s="28" t="s">
        <v>126</v>
      </c>
    </row>
    <row r="28" spans="1:19" x14ac:dyDescent="0.3">
      <c r="A28" s="32" t="s">
        <v>17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91</v>
      </c>
      <c r="L28" s="1" t="s">
        <v>107</v>
      </c>
      <c r="M28" s="1" t="s">
        <v>91</v>
      </c>
      <c r="N28" s="1" t="s">
        <v>91</v>
      </c>
      <c r="O28" s="31">
        <v>11</v>
      </c>
      <c r="P28" s="20">
        <v>8</v>
      </c>
      <c r="Q28" s="30">
        <v>3</v>
      </c>
      <c r="R28" s="29" t="s">
        <v>101</v>
      </c>
      <c r="S28" s="28" t="s">
        <v>119</v>
      </c>
    </row>
    <row r="29" spans="1:19" x14ac:dyDescent="0.3">
      <c r="A29" s="32" t="s">
        <v>15</v>
      </c>
      <c r="B29" s="1">
        <v>4</v>
      </c>
      <c r="C29" s="1">
        <v>2</v>
      </c>
      <c r="D29" s="1">
        <v>1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98</v>
      </c>
      <c r="L29" s="1" t="s">
        <v>99</v>
      </c>
      <c r="M29" s="1" t="s">
        <v>98</v>
      </c>
      <c r="N29" s="1" t="s">
        <v>98</v>
      </c>
      <c r="O29" s="31">
        <v>12</v>
      </c>
      <c r="P29" s="20">
        <v>11</v>
      </c>
      <c r="Q29" s="30">
        <v>1</v>
      </c>
      <c r="R29" s="29" t="s">
        <v>93</v>
      </c>
      <c r="S29" s="28" t="s">
        <v>119</v>
      </c>
    </row>
    <row r="30" spans="1:19" x14ac:dyDescent="0.3">
      <c r="A30" s="32" t="s">
        <v>22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98</v>
      </c>
      <c r="L30" s="1" t="s">
        <v>98</v>
      </c>
      <c r="M30" s="1" t="s">
        <v>102</v>
      </c>
      <c r="N30" s="1" t="s">
        <v>106</v>
      </c>
      <c r="O30" s="31">
        <v>10</v>
      </c>
      <c r="P30" s="20">
        <v>6</v>
      </c>
      <c r="Q30" s="30">
        <v>4</v>
      </c>
      <c r="R30" s="29" t="s">
        <v>103</v>
      </c>
      <c r="S30" s="28" t="s">
        <v>115</v>
      </c>
    </row>
    <row r="31" spans="1:19" x14ac:dyDescent="0.3">
      <c r="A31" s="32" t="s">
        <v>6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97</v>
      </c>
      <c r="L31" s="1" t="s">
        <v>106</v>
      </c>
      <c r="M31" s="1" t="s">
        <v>106</v>
      </c>
      <c r="N31" s="1" t="s">
        <v>127</v>
      </c>
      <c r="O31" s="31">
        <v>9</v>
      </c>
      <c r="P31" s="20">
        <v>13</v>
      </c>
      <c r="Q31" s="30">
        <v>-4</v>
      </c>
      <c r="R31" s="29" t="s">
        <v>109</v>
      </c>
      <c r="S31" s="28" t="s">
        <v>127</v>
      </c>
    </row>
    <row r="32" spans="1:19" ht="15" thickBot="1" x14ac:dyDescent="0.35">
      <c r="A32" s="32" t="s">
        <v>25</v>
      </c>
      <c r="B32" s="1">
        <v>5</v>
      </c>
      <c r="C32" s="1">
        <v>1</v>
      </c>
      <c r="D32" s="1">
        <v>4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91</v>
      </c>
      <c r="L32" s="1" t="s">
        <v>132</v>
      </c>
      <c r="M32" s="1" t="s">
        <v>98</v>
      </c>
      <c r="N32" s="1" t="s">
        <v>106</v>
      </c>
      <c r="O32" s="31">
        <v>10</v>
      </c>
      <c r="P32" s="20">
        <v>21</v>
      </c>
      <c r="Q32" s="30">
        <v>-11</v>
      </c>
      <c r="R32" s="29" t="s">
        <v>96</v>
      </c>
      <c r="S32" s="28" t="s">
        <v>133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5</v>
      </c>
      <c r="C35" s="1">
        <v>4</v>
      </c>
      <c r="D35" s="1">
        <v>1</v>
      </c>
      <c r="E35" s="20">
        <v>0</v>
      </c>
      <c r="F35" s="33">
        <v>8</v>
      </c>
      <c r="G35" s="20">
        <v>3</v>
      </c>
      <c r="H35" s="20">
        <v>3</v>
      </c>
      <c r="I35" s="20">
        <v>1</v>
      </c>
      <c r="J35" s="20">
        <v>0</v>
      </c>
      <c r="K35" s="29" t="s">
        <v>105</v>
      </c>
      <c r="L35" s="1" t="s">
        <v>104</v>
      </c>
      <c r="M35" s="1" t="s">
        <v>105</v>
      </c>
      <c r="N35" s="1" t="s">
        <v>114</v>
      </c>
      <c r="O35" s="31">
        <v>21</v>
      </c>
      <c r="P35" s="20">
        <v>13</v>
      </c>
      <c r="Q35" s="30">
        <v>8</v>
      </c>
      <c r="R35" s="29" t="s">
        <v>113</v>
      </c>
      <c r="S35" s="28" t="s">
        <v>122</v>
      </c>
    </row>
    <row r="36" spans="1:19" x14ac:dyDescent="0.3">
      <c r="A36" s="32" t="s">
        <v>20</v>
      </c>
      <c r="B36" s="1">
        <v>4</v>
      </c>
      <c r="C36" s="1">
        <v>3</v>
      </c>
      <c r="D36" s="1">
        <v>0</v>
      </c>
      <c r="E36" s="20">
        <v>1</v>
      </c>
      <c r="F36" s="30">
        <v>7</v>
      </c>
      <c r="G36" s="20">
        <v>3</v>
      </c>
      <c r="H36" s="20">
        <v>3</v>
      </c>
      <c r="I36" s="20">
        <v>0</v>
      </c>
      <c r="J36" s="20">
        <v>0</v>
      </c>
      <c r="K36" s="29" t="s">
        <v>99</v>
      </c>
      <c r="L36" s="1" t="s">
        <v>104</v>
      </c>
      <c r="M36" s="1" t="s">
        <v>125</v>
      </c>
      <c r="N36" s="1" t="s">
        <v>125</v>
      </c>
      <c r="O36" s="31">
        <v>22</v>
      </c>
      <c r="P36" s="20">
        <v>16</v>
      </c>
      <c r="Q36" s="30">
        <v>6</v>
      </c>
      <c r="R36" s="29" t="s">
        <v>113</v>
      </c>
      <c r="S36" s="28" t="s">
        <v>125</v>
      </c>
    </row>
    <row r="37" spans="1:19" x14ac:dyDescent="0.3">
      <c r="A37" s="32" t="s">
        <v>31</v>
      </c>
      <c r="B37" s="1">
        <v>4</v>
      </c>
      <c r="C37" s="1">
        <v>3</v>
      </c>
      <c r="D37" s="1">
        <v>1</v>
      </c>
      <c r="E37" s="20">
        <v>0</v>
      </c>
      <c r="F37" s="30">
        <v>6</v>
      </c>
      <c r="G37" s="20">
        <v>2</v>
      </c>
      <c r="H37" s="20">
        <v>3</v>
      </c>
      <c r="I37" s="20">
        <v>0</v>
      </c>
      <c r="J37" s="20">
        <v>0</v>
      </c>
      <c r="K37" s="29" t="s">
        <v>98</v>
      </c>
      <c r="L37" s="1" t="s">
        <v>104</v>
      </c>
      <c r="M37" s="1" t="s">
        <v>98</v>
      </c>
      <c r="N37" s="1" t="s">
        <v>105</v>
      </c>
      <c r="O37" s="31">
        <v>14</v>
      </c>
      <c r="P37" s="20">
        <v>11</v>
      </c>
      <c r="Q37" s="30">
        <v>3</v>
      </c>
      <c r="R37" s="29" t="s">
        <v>93</v>
      </c>
      <c r="S37" s="28" t="s">
        <v>114</v>
      </c>
    </row>
    <row r="38" spans="1:19" x14ac:dyDescent="0.3">
      <c r="A38" s="32" t="s">
        <v>8</v>
      </c>
      <c r="B38" s="1">
        <v>4</v>
      </c>
      <c r="C38" s="1">
        <v>3</v>
      </c>
      <c r="D38" s="1">
        <v>1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104</v>
      </c>
      <c r="L38" s="1" t="s">
        <v>98</v>
      </c>
      <c r="M38" s="1" t="s">
        <v>91</v>
      </c>
      <c r="N38" s="1" t="s">
        <v>105</v>
      </c>
      <c r="O38" s="31">
        <v>12</v>
      </c>
      <c r="P38" s="20">
        <v>14</v>
      </c>
      <c r="Q38" s="30">
        <v>-2</v>
      </c>
      <c r="R38" s="29" t="s">
        <v>93</v>
      </c>
      <c r="S38" s="28" t="s">
        <v>114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5</v>
      </c>
      <c r="C40" s="1">
        <v>2</v>
      </c>
      <c r="D40" s="1">
        <v>3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98</v>
      </c>
      <c r="M40" s="1" t="s">
        <v>115</v>
      </c>
      <c r="N40" s="1" t="s">
        <v>115</v>
      </c>
      <c r="O40" s="31">
        <v>21</v>
      </c>
      <c r="P40" s="20">
        <v>25</v>
      </c>
      <c r="Q40" s="30">
        <v>-4</v>
      </c>
      <c r="R40" s="29" t="s">
        <v>101</v>
      </c>
      <c r="S40" s="28" t="s">
        <v>134</v>
      </c>
    </row>
    <row r="41" spans="1:19" x14ac:dyDescent="0.3">
      <c r="A41" s="32" t="s">
        <v>18</v>
      </c>
      <c r="B41" s="1">
        <v>3</v>
      </c>
      <c r="C41" s="1">
        <v>0</v>
      </c>
      <c r="D41" s="1">
        <v>2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100</v>
      </c>
      <c r="M41" s="1" t="s">
        <v>97</v>
      </c>
      <c r="N41" s="1" t="s">
        <v>100</v>
      </c>
      <c r="O41" s="31">
        <v>9</v>
      </c>
      <c r="P41" s="20">
        <v>15</v>
      </c>
      <c r="Q41" s="30">
        <v>-6</v>
      </c>
      <c r="R41" s="29" t="s">
        <v>109</v>
      </c>
      <c r="S41" s="28" t="s">
        <v>124</v>
      </c>
    </row>
    <row r="42" spans="1:19" ht="15" thickBot="1" x14ac:dyDescent="0.35">
      <c r="A42" s="27" t="s">
        <v>27</v>
      </c>
      <c r="B42" s="26">
        <v>4</v>
      </c>
      <c r="C42" s="26">
        <v>0</v>
      </c>
      <c r="D42" s="26">
        <v>4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102</v>
      </c>
      <c r="M42" s="26" t="s">
        <v>110</v>
      </c>
      <c r="N42" s="26" t="s">
        <v>132</v>
      </c>
      <c r="O42" s="25">
        <v>6</v>
      </c>
      <c r="P42" s="24">
        <v>23</v>
      </c>
      <c r="Q42" s="23">
        <v>-17</v>
      </c>
      <c r="R42" s="22" t="s">
        <v>117</v>
      </c>
      <c r="S42" s="21" t="s">
        <v>132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33AAD3B-FF22-475A-A810-5A491733D489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FD50-284E-41EE-8091-257CE0E632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6</v>
      </c>
      <c r="C14" s="1">
        <v>4</v>
      </c>
      <c r="D14" s="1">
        <v>1</v>
      </c>
      <c r="E14" s="20">
        <v>1</v>
      </c>
      <c r="F14" s="33">
        <v>9</v>
      </c>
      <c r="G14" s="20">
        <v>3</v>
      </c>
      <c r="H14" s="20">
        <v>4</v>
      </c>
      <c r="I14" s="20">
        <v>0</v>
      </c>
      <c r="J14" s="20">
        <v>0</v>
      </c>
      <c r="K14" s="29" t="s">
        <v>107</v>
      </c>
      <c r="L14" s="1" t="s">
        <v>120</v>
      </c>
      <c r="M14" s="1" t="s">
        <v>98</v>
      </c>
      <c r="N14" s="1" t="s">
        <v>119</v>
      </c>
      <c r="O14" s="31">
        <v>23</v>
      </c>
      <c r="P14" s="20">
        <v>16</v>
      </c>
      <c r="Q14" s="30">
        <v>7</v>
      </c>
      <c r="R14" s="29" t="s">
        <v>121</v>
      </c>
      <c r="S14" s="28" t="s">
        <v>139</v>
      </c>
    </row>
    <row r="15" spans="1:20" x14ac:dyDescent="0.3">
      <c r="A15" s="32" t="s">
        <v>12</v>
      </c>
      <c r="B15" s="1">
        <v>6</v>
      </c>
      <c r="C15" s="1">
        <v>4</v>
      </c>
      <c r="D15" s="1">
        <v>2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120</v>
      </c>
      <c r="L15" s="1" t="s">
        <v>106</v>
      </c>
      <c r="M15" s="1" t="s">
        <v>98</v>
      </c>
      <c r="N15" s="1" t="s">
        <v>126</v>
      </c>
      <c r="O15" s="31">
        <v>17</v>
      </c>
      <c r="P15" s="20">
        <v>11</v>
      </c>
      <c r="Q15" s="30">
        <v>6</v>
      </c>
      <c r="R15" s="29" t="s">
        <v>96</v>
      </c>
      <c r="S15" s="28" t="s">
        <v>135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104</v>
      </c>
      <c r="L17" s="1" t="s">
        <v>98</v>
      </c>
      <c r="M17" s="1" t="s">
        <v>120</v>
      </c>
      <c r="N17" s="1" t="s">
        <v>114</v>
      </c>
      <c r="O17" s="31">
        <v>14</v>
      </c>
      <c r="P17" s="20">
        <v>9</v>
      </c>
      <c r="Q17" s="30">
        <v>5</v>
      </c>
      <c r="R17" s="29" t="s">
        <v>103</v>
      </c>
      <c r="S17" s="28" t="s">
        <v>114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6</v>
      </c>
      <c r="C21" s="26">
        <v>0</v>
      </c>
      <c r="D21" s="26">
        <v>4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140</v>
      </c>
      <c r="M21" s="26" t="s">
        <v>108</v>
      </c>
      <c r="N21" s="26" t="s">
        <v>141</v>
      </c>
      <c r="O21" s="25">
        <v>7</v>
      </c>
      <c r="P21" s="24">
        <v>24</v>
      </c>
      <c r="Q21" s="23">
        <v>-17</v>
      </c>
      <c r="R21" s="22" t="s">
        <v>142</v>
      </c>
      <c r="S21" s="21" t="s">
        <v>141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8</v>
      </c>
      <c r="B38" s="1">
        <v>5</v>
      </c>
      <c r="C38" s="1">
        <v>3</v>
      </c>
      <c r="D38" s="1">
        <v>2</v>
      </c>
      <c r="E38" s="20">
        <v>0</v>
      </c>
      <c r="F38" s="30">
        <v>6</v>
      </c>
      <c r="G38" s="20">
        <v>0</v>
      </c>
      <c r="H38" s="20">
        <v>3</v>
      </c>
      <c r="I38" s="20">
        <v>0</v>
      </c>
      <c r="J38" s="20">
        <v>0</v>
      </c>
      <c r="K38" s="29" t="s">
        <v>105</v>
      </c>
      <c r="L38" s="1" t="s">
        <v>98</v>
      </c>
      <c r="M38" s="1" t="s">
        <v>98</v>
      </c>
      <c r="N38" s="1" t="s">
        <v>115</v>
      </c>
      <c r="O38" s="31">
        <v>13</v>
      </c>
      <c r="P38" s="20">
        <v>17</v>
      </c>
      <c r="Q38" s="30">
        <v>-4</v>
      </c>
      <c r="R38" s="29" t="s">
        <v>96</v>
      </c>
      <c r="S38" s="28" t="s">
        <v>126</v>
      </c>
    </row>
    <row r="39" spans="1:19" x14ac:dyDescent="0.3">
      <c r="A39" s="32" t="s">
        <v>7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3</v>
      </c>
      <c r="H39" s="20">
        <v>3</v>
      </c>
      <c r="I39" s="20">
        <v>0</v>
      </c>
      <c r="J39" s="20">
        <v>0</v>
      </c>
      <c r="K39" s="29" t="s">
        <v>98</v>
      </c>
      <c r="L39" s="1" t="s">
        <v>105</v>
      </c>
      <c r="M39" s="1" t="s">
        <v>115</v>
      </c>
      <c r="N39" s="1" t="s">
        <v>115</v>
      </c>
      <c r="O39" s="31">
        <v>21</v>
      </c>
      <c r="P39" s="20">
        <v>14</v>
      </c>
      <c r="Q39" s="30">
        <v>7</v>
      </c>
      <c r="R39" s="29" t="s">
        <v>93</v>
      </c>
      <c r="S39" s="28" t="s">
        <v>126</v>
      </c>
    </row>
    <row r="40" spans="1:19" x14ac:dyDescent="0.3">
      <c r="A40" s="32" t="s">
        <v>3</v>
      </c>
      <c r="B40" s="1">
        <v>6</v>
      </c>
      <c r="C40" s="1">
        <v>2</v>
      </c>
      <c r="D40" s="1">
        <v>4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106</v>
      </c>
      <c r="M40" s="1" t="s">
        <v>115</v>
      </c>
      <c r="N40" s="1" t="s">
        <v>115</v>
      </c>
      <c r="O40" s="31">
        <v>22</v>
      </c>
      <c r="P40" s="20">
        <v>29</v>
      </c>
      <c r="Q40" s="30">
        <v>-7</v>
      </c>
      <c r="R40" s="29" t="s">
        <v>109</v>
      </c>
      <c r="S40" s="28" t="s">
        <v>147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BF5268C-B46A-4D16-BDFA-C01F1278C4BF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6A9F-3C68-41B8-A834-A57A339A92F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6</v>
      </c>
      <c r="C4" s="40">
        <v>4</v>
      </c>
      <c r="D4" s="40">
        <v>2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114</v>
      </c>
      <c r="L4" s="40" t="s">
        <v>98</v>
      </c>
      <c r="M4" s="40" t="s">
        <v>95</v>
      </c>
      <c r="N4" s="40" t="s">
        <v>105</v>
      </c>
      <c r="O4" s="39">
        <v>20</v>
      </c>
      <c r="P4" s="38">
        <v>13</v>
      </c>
      <c r="Q4" s="33">
        <v>7</v>
      </c>
      <c r="R4" s="37" t="s">
        <v>103</v>
      </c>
      <c r="S4" s="36" t="s">
        <v>135</v>
      </c>
    </row>
    <row r="5" spans="1:20" x14ac:dyDescent="0.3">
      <c r="A5" s="32" t="s">
        <v>11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3</v>
      </c>
      <c r="H5" s="20">
        <v>3</v>
      </c>
      <c r="I5" s="20">
        <v>1</v>
      </c>
      <c r="J5" s="30">
        <v>0</v>
      </c>
      <c r="K5" s="29" t="s">
        <v>104</v>
      </c>
      <c r="L5" s="1" t="s">
        <v>105</v>
      </c>
      <c r="M5" s="1" t="s">
        <v>105</v>
      </c>
      <c r="N5" s="1" t="s">
        <v>114</v>
      </c>
      <c r="O5" s="31">
        <v>15</v>
      </c>
      <c r="P5" s="20">
        <v>11</v>
      </c>
      <c r="Q5" s="30">
        <v>4</v>
      </c>
      <c r="R5" s="29" t="s">
        <v>103</v>
      </c>
      <c r="S5" s="28" t="s">
        <v>122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19</v>
      </c>
      <c r="B8" s="1">
        <v>5</v>
      </c>
      <c r="C8" s="1">
        <v>2</v>
      </c>
      <c r="D8" s="1">
        <v>1</v>
      </c>
      <c r="E8" s="20">
        <v>2</v>
      </c>
      <c r="F8" s="30">
        <v>6</v>
      </c>
      <c r="G8" s="31">
        <v>1</v>
      </c>
      <c r="H8" s="20">
        <v>2</v>
      </c>
      <c r="I8" s="20">
        <v>0</v>
      </c>
      <c r="J8" s="30">
        <v>0</v>
      </c>
      <c r="K8" s="29" t="s">
        <v>95</v>
      </c>
      <c r="L8" s="1" t="s">
        <v>118</v>
      </c>
      <c r="M8" s="1" t="s">
        <v>92</v>
      </c>
      <c r="N8" s="1" t="s">
        <v>91</v>
      </c>
      <c r="O8" s="31">
        <v>9</v>
      </c>
      <c r="P8" s="20">
        <v>12</v>
      </c>
      <c r="Q8" s="30">
        <v>-3</v>
      </c>
      <c r="R8" s="29" t="s">
        <v>96</v>
      </c>
      <c r="S8" s="28" t="s">
        <v>137</v>
      </c>
    </row>
    <row r="9" spans="1:20" x14ac:dyDescent="0.3">
      <c r="A9" s="32" t="s">
        <v>16</v>
      </c>
      <c r="B9" s="1">
        <v>5</v>
      </c>
      <c r="C9" s="1">
        <v>2</v>
      </c>
      <c r="D9" s="1">
        <v>2</v>
      </c>
      <c r="E9" s="20">
        <v>1</v>
      </c>
      <c r="F9" s="30">
        <v>5</v>
      </c>
      <c r="G9" s="31">
        <v>1</v>
      </c>
      <c r="H9" s="20">
        <v>1</v>
      </c>
      <c r="I9" s="20">
        <v>1</v>
      </c>
      <c r="J9" s="30">
        <v>0</v>
      </c>
      <c r="K9" s="29" t="s">
        <v>106</v>
      </c>
      <c r="L9" s="1" t="s">
        <v>99</v>
      </c>
      <c r="M9" s="1" t="s">
        <v>104</v>
      </c>
      <c r="N9" s="1" t="s">
        <v>119</v>
      </c>
      <c r="O9" s="31">
        <v>15</v>
      </c>
      <c r="P9" s="20">
        <v>19</v>
      </c>
      <c r="Q9" s="30">
        <v>-4</v>
      </c>
      <c r="R9" s="29" t="s">
        <v>93</v>
      </c>
      <c r="S9" s="28" t="s">
        <v>128</v>
      </c>
    </row>
    <row r="10" spans="1:20" x14ac:dyDescent="0.3">
      <c r="A10" s="32" t="s">
        <v>28</v>
      </c>
      <c r="B10" s="1">
        <v>5</v>
      </c>
      <c r="C10" s="1">
        <v>2</v>
      </c>
      <c r="D10" s="1">
        <v>3</v>
      </c>
      <c r="E10" s="20">
        <v>0</v>
      </c>
      <c r="F10" s="30">
        <v>4</v>
      </c>
      <c r="G10" s="31">
        <v>1</v>
      </c>
      <c r="H10" s="20">
        <v>2</v>
      </c>
      <c r="I10" s="20">
        <v>0</v>
      </c>
      <c r="J10" s="30">
        <v>0</v>
      </c>
      <c r="K10" s="29" t="s">
        <v>115</v>
      </c>
      <c r="L10" s="1" t="s">
        <v>95</v>
      </c>
      <c r="M10" s="1" t="s">
        <v>92</v>
      </c>
      <c r="N10" s="1" t="s">
        <v>95</v>
      </c>
      <c r="O10" s="31">
        <v>11</v>
      </c>
      <c r="P10" s="20">
        <v>19</v>
      </c>
      <c r="Q10" s="30">
        <v>-8</v>
      </c>
      <c r="R10" s="29" t="s">
        <v>101</v>
      </c>
      <c r="S10" s="28" t="s">
        <v>134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4</v>
      </c>
      <c r="C19" s="1">
        <v>2</v>
      </c>
      <c r="D19" s="1">
        <v>2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105</v>
      </c>
      <c r="L19" s="1" t="s">
        <v>95</v>
      </c>
      <c r="M19" s="1" t="s">
        <v>98</v>
      </c>
      <c r="N19" s="1" t="s">
        <v>98</v>
      </c>
      <c r="O19" s="31">
        <v>10</v>
      </c>
      <c r="P19" s="20">
        <v>14</v>
      </c>
      <c r="Q19" s="30">
        <v>-4</v>
      </c>
      <c r="R19" s="29" t="s">
        <v>93</v>
      </c>
      <c r="S19" s="28" t="s">
        <v>115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6</v>
      </c>
      <c r="C25" s="1">
        <v>4</v>
      </c>
      <c r="D25" s="1">
        <v>2</v>
      </c>
      <c r="E25" s="20">
        <v>0</v>
      </c>
      <c r="F25" s="30">
        <v>8</v>
      </c>
      <c r="G25" s="20">
        <v>4</v>
      </c>
      <c r="H25" s="20">
        <v>4</v>
      </c>
      <c r="I25" s="20">
        <v>0</v>
      </c>
      <c r="J25" s="20">
        <v>0</v>
      </c>
      <c r="K25" s="29" t="s">
        <v>91</v>
      </c>
      <c r="L25" s="1" t="s">
        <v>126</v>
      </c>
      <c r="M25" s="1" t="s">
        <v>91</v>
      </c>
      <c r="N25" s="1" t="s">
        <v>91</v>
      </c>
      <c r="O25" s="31">
        <v>22</v>
      </c>
      <c r="P25" s="20">
        <v>15</v>
      </c>
      <c r="Q25" s="30">
        <v>7</v>
      </c>
      <c r="R25" s="29" t="s">
        <v>93</v>
      </c>
      <c r="S25" s="28" t="s">
        <v>135</v>
      </c>
    </row>
    <row r="26" spans="1:19" x14ac:dyDescent="0.3">
      <c r="A26" s="32" t="s">
        <v>17</v>
      </c>
      <c r="B26" s="1">
        <v>5</v>
      </c>
      <c r="C26" s="1">
        <v>3</v>
      </c>
      <c r="D26" s="1">
        <v>1</v>
      </c>
      <c r="E26" s="20">
        <v>1</v>
      </c>
      <c r="F26" s="30">
        <v>7</v>
      </c>
      <c r="G26" s="20">
        <v>3</v>
      </c>
      <c r="H26" s="20">
        <v>3</v>
      </c>
      <c r="I26" s="20">
        <v>0</v>
      </c>
      <c r="J26" s="20">
        <v>0</v>
      </c>
      <c r="K26" s="29" t="s">
        <v>91</v>
      </c>
      <c r="L26" s="1" t="s">
        <v>119</v>
      </c>
      <c r="M26" s="1" t="s">
        <v>91</v>
      </c>
      <c r="N26" s="1" t="s">
        <v>91</v>
      </c>
      <c r="O26" s="31">
        <v>15</v>
      </c>
      <c r="P26" s="20">
        <v>9</v>
      </c>
      <c r="Q26" s="30">
        <v>6</v>
      </c>
      <c r="R26" s="29" t="s">
        <v>93</v>
      </c>
      <c r="S26" s="28" t="s">
        <v>129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6</v>
      </c>
      <c r="C35" s="1">
        <v>5</v>
      </c>
      <c r="D35" s="1">
        <v>1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104</v>
      </c>
      <c r="M35" s="1" t="s">
        <v>114</v>
      </c>
      <c r="N35" s="1" t="s">
        <v>122</v>
      </c>
      <c r="O35" s="31">
        <v>23</v>
      </c>
      <c r="P35" s="20">
        <v>14</v>
      </c>
      <c r="Q35" s="30">
        <v>9</v>
      </c>
      <c r="R35" s="29" t="s">
        <v>121</v>
      </c>
      <c r="S35" s="28" t="s">
        <v>148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503B6D8-E49D-4CAC-A1DD-2253B391218F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F31BF-F782-4E34-8415-BF730B7C6620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4</v>
      </c>
      <c r="I4" s="38">
        <v>1</v>
      </c>
      <c r="J4" s="33">
        <v>0</v>
      </c>
      <c r="K4" s="37" t="s">
        <v>104</v>
      </c>
      <c r="L4" s="40" t="s">
        <v>114</v>
      </c>
      <c r="M4" s="40" t="s">
        <v>105</v>
      </c>
      <c r="N4" s="40" t="s">
        <v>122</v>
      </c>
      <c r="O4" s="39">
        <v>19</v>
      </c>
      <c r="P4" s="38">
        <v>12</v>
      </c>
      <c r="Q4" s="33">
        <v>7</v>
      </c>
      <c r="R4" s="37" t="s">
        <v>113</v>
      </c>
      <c r="S4" s="36" t="s">
        <v>148</v>
      </c>
    </row>
    <row r="5" spans="1:20" x14ac:dyDescent="0.3">
      <c r="A5" s="32" t="s">
        <v>29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3</v>
      </c>
      <c r="H5" s="20">
        <v>4</v>
      </c>
      <c r="I5" s="20">
        <v>0</v>
      </c>
      <c r="J5" s="30">
        <v>0</v>
      </c>
      <c r="K5" s="29" t="s">
        <v>114</v>
      </c>
      <c r="L5" s="1" t="s">
        <v>98</v>
      </c>
      <c r="M5" s="1" t="s">
        <v>95</v>
      </c>
      <c r="N5" s="1" t="s">
        <v>105</v>
      </c>
      <c r="O5" s="31">
        <v>20</v>
      </c>
      <c r="P5" s="20">
        <v>13</v>
      </c>
      <c r="Q5" s="30">
        <v>7</v>
      </c>
      <c r="R5" s="29" t="s">
        <v>103</v>
      </c>
      <c r="S5" s="28" t="s">
        <v>135</v>
      </c>
    </row>
    <row r="6" spans="1:20" x14ac:dyDescent="0.3">
      <c r="A6" s="32" t="s">
        <v>5</v>
      </c>
      <c r="B6" s="1">
        <v>5</v>
      </c>
      <c r="C6" s="1">
        <v>4</v>
      </c>
      <c r="D6" s="1">
        <v>1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98</v>
      </c>
      <c r="M6" s="1" t="s">
        <v>92</v>
      </c>
      <c r="N6" s="1" t="s">
        <v>114</v>
      </c>
      <c r="O6" s="31">
        <v>16</v>
      </c>
      <c r="P6" s="20">
        <v>12</v>
      </c>
      <c r="Q6" s="30">
        <v>4</v>
      </c>
      <c r="R6" s="29" t="s">
        <v>121</v>
      </c>
      <c r="S6" s="28" t="s">
        <v>122</v>
      </c>
    </row>
    <row r="7" spans="1:20" x14ac:dyDescent="0.3">
      <c r="A7" s="32" t="s">
        <v>4</v>
      </c>
      <c r="B7" s="1">
        <v>6</v>
      </c>
      <c r="C7" s="1">
        <v>3</v>
      </c>
      <c r="D7" s="1">
        <v>2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1</v>
      </c>
      <c r="K7" s="29" t="s">
        <v>115</v>
      </c>
      <c r="L7" s="1" t="s">
        <v>99</v>
      </c>
      <c r="M7" s="1" t="s">
        <v>102</v>
      </c>
      <c r="N7" s="1" t="s">
        <v>106</v>
      </c>
      <c r="O7" s="31">
        <v>20</v>
      </c>
      <c r="P7" s="20">
        <v>18</v>
      </c>
      <c r="Q7" s="30">
        <v>2</v>
      </c>
      <c r="R7" s="29" t="s">
        <v>93</v>
      </c>
      <c r="S7" s="28" t="s">
        <v>138</v>
      </c>
    </row>
    <row r="8" spans="1:20" x14ac:dyDescent="0.3">
      <c r="A8" s="32" t="s">
        <v>28</v>
      </c>
      <c r="B8" s="1">
        <v>6</v>
      </c>
      <c r="C8" s="1">
        <v>3</v>
      </c>
      <c r="D8" s="1">
        <v>3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126</v>
      </c>
      <c r="L8" s="1" t="s">
        <v>95</v>
      </c>
      <c r="M8" s="1" t="s">
        <v>91</v>
      </c>
      <c r="N8" s="1" t="s">
        <v>98</v>
      </c>
      <c r="O8" s="31">
        <v>16</v>
      </c>
      <c r="P8" s="20">
        <v>22</v>
      </c>
      <c r="Q8" s="30">
        <v>-6</v>
      </c>
      <c r="R8" s="29" t="s">
        <v>93</v>
      </c>
      <c r="S8" s="28" t="s">
        <v>156</v>
      </c>
    </row>
    <row r="9" spans="1:20" x14ac:dyDescent="0.3">
      <c r="A9" s="32" t="s">
        <v>19</v>
      </c>
      <c r="B9" s="1">
        <v>6</v>
      </c>
      <c r="C9" s="1">
        <v>2</v>
      </c>
      <c r="D9" s="1">
        <v>2</v>
      </c>
      <c r="E9" s="20">
        <v>2</v>
      </c>
      <c r="F9" s="30">
        <v>6</v>
      </c>
      <c r="G9" s="31">
        <v>1</v>
      </c>
      <c r="H9" s="20">
        <v>2</v>
      </c>
      <c r="I9" s="20">
        <v>0</v>
      </c>
      <c r="J9" s="30">
        <v>0</v>
      </c>
      <c r="K9" s="29" t="s">
        <v>95</v>
      </c>
      <c r="L9" s="1" t="s">
        <v>137</v>
      </c>
      <c r="M9" s="1" t="s">
        <v>95</v>
      </c>
      <c r="N9" s="1" t="s">
        <v>98</v>
      </c>
      <c r="O9" s="31">
        <v>12</v>
      </c>
      <c r="P9" s="20">
        <v>17</v>
      </c>
      <c r="Q9" s="30">
        <v>-5</v>
      </c>
      <c r="R9" s="29" t="s">
        <v>101</v>
      </c>
      <c r="S9" s="28" t="s">
        <v>157</v>
      </c>
    </row>
    <row r="10" spans="1:20" x14ac:dyDescent="0.3">
      <c r="A10" s="32" t="s">
        <v>16</v>
      </c>
      <c r="B10" s="1">
        <v>5</v>
      </c>
      <c r="C10" s="1">
        <v>2</v>
      </c>
      <c r="D10" s="1">
        <v>2</v>
      </c>
      <c r="E10" s="20">
        <v>1</v>
      </c>
      <c r="F10" s="30">
        <v>5</v>
      </c>
      <c r="G10" s="31">
        <v>1</v>
      </c>
      <c r="H10" s="20">
        <v>1</v>
      </c>
      <c r="I10" s="20">
        <v>1</v>
      </c>
      <c r="J10" s="30">
        <v>0</v>
      </c>
      <c r="K10" s="29" t="s">
        <v>106</v>
      </c>
      <c r="L10" s="1" t="s">
        <v>99</v>
      </c>
      <c r="M10" s="1" t="s">
        <v>104</v>
      </c>
      <c r="N10" s="1" t="s">
        <v>119</v>
      </c>
      <c r="O10" s="31">
        <v>15</v>
      </c>
      <c r="P10" s="20">
        <v>19</v>
      </c>
      <c r="Q10" s="30">
        <v>-4</v>
      </c>
      <c r="R10" s="29" t="s">
        <v>93</v>
      </c>
      <c r="S10" s="28" t="s">
        <v>128</v>
      </c>
    </row>
    <row r="11" spans="1:20" ht="15" thickBot="1" x14ac:dyDescent="0.35">
      <c r="A11" s="32" t="s">
        <v>21</v>
      </c>
      <c r="B11" s="1">
        <v>5</v>
      </c>
      <c r="C11" s="1">
        <v>1</v>
      </c>
      <c r="D11" s="1">
        <v>3</v>
      </c>
      <c r="E11" s="24">
        <v>1</v>
      </c>
      <c r="F11" s="23">
        <v>3</v>
      </c>
      <c r="G11" s="25">
        <v>1</v>
      </c>
      <c r="H11" s="24">
        <v>1</v>
      </c>
      <c r="I11" s="24">
        <v>0</v>
      </c>
      <c r="J11" s="23">
        <v>1</v>
      </c>
      <c r="K11" s="29" t="s">
        <v>123</v>
      </c>
      <c r="L11" s="1" t="s">
        <v>97</v>
      </c>
      <c r="M11" s="1" t="s">
        <v>99</v>
      </c>
      <c r="N11" s="1" t="s">
        <v>107</v>
      </c>
      <c r="O11" s="31">
        <v>10</v>
      </c>
      <c r="P11" s="20">
        <v>15</v>
      </c>
      <c r="Q11" s="30">
        <v>-5</v>
      </c>
      <c r="R11" s="29" t="s">
        <v>101</v>
      </c>
      <c r="S11" s="28" t="s">
        <v>136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7</v>
      </c>
      <c r="C14" s="1">
        <v>5</v>
      </c>
      <c r="D14" s="1">
        <v>1</v>
      </c>
      <c r="E14" s="20">
        <v>1</v>
      </c>
      <c r="F14" s="33">
        <v>11</v>
      </c>
      <c r="G14" s="20">
        <v>4</v>
      </c>
      <c r="H14" s="20">
        <v>5</v>
      </c>
      <c r="I14" s="20">
        <v>0</v>
      </c>
      <c r="J14" s="20">
        <v>0</v>
      </c>
      <c r="K14" s="29" t="s">
        <v>107</v>
      </c>
      <c r="L14" s="1" t="s">
        <v>149</v>
      </c>
      <c r="M14" s="1" t="s">
        <v>105</v>
      </c>
      <c r="N14" s="1" t="s">
        <v>129</v>
      </c>
      <c r="O14" s="31">
        <v>27</v>
      </c>
      <c r="P14" s="20">
        <v>17</v>
      </c>
      <c r="Q14" s="30">
        <v>10</v>
      </c>
      <c r="R14" s="29" t="s">
        <v>150</v>
      </c>
      <c r="S14" s="28" t="s">
        <v>151</v>
      </c>
    </row>
    <row r="15" spans="1:20" x14ac:dyDescent="0.3">
      <c r="A15" s="32" t="s">
        <v>12</v>
      </c>
      <c r="B15" s="1">
        <v>7</v>
      </c>
      <c r="C15" s="1">
        <v>5</v>
      </c>
      <c r="D15" s="1">
        <v>2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149</v>
      </c>
      <c r="L15" s="1" t="s">
        <v>106</v>
      </c>
      <c r="M15" s="1" t="s">
        <v>98</v>
      </c>
      <c r="N15" s="1" t="s">
        <v>126</v>
      </c>
      <c r="O15" s="31">
        <v>23</v>
      </c>
      <c r="P15" s="20">
        <v>13</v>
      </c>
      <c r="Q15" s="30">
        <v>10</v>
      </c>
      <c r="R15" s="29" t="s">
        <v>93</v>
      </c>
      <c r="S15" s="28" t="s">
        <v>152</v>
      </c>
    </row>
    <row r="16" spans="1:20" x14ac:dyDescent="0.3">
      <c r="A16" s="32" t="s">
        <v>9</v>
      </c>
      <c r="B16" s="1">
        <v>6</v>
      </c>
      <c r="C16" s="1">
        <v>3</v>
      </c>
      <c r="D16" s="1">
        <v>2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107</v>
      </c>
      <c r="M16" s="1" t="s">
        <v>107</v>
      </c>
      <c r="N16" s="1" t="s">
        <v>119</v>
      </c>
      <c r="O16" s="31">
        <v>22</v>
      </c>
      <c r="P16" s="20">
        <v>17</v>
      </c>
      <c r="Q16" s="30">
        <v>5</v>
      </c>
      <c r="R16" s="29" t="s">
        <v>93</v>
      </c>
      <c r="S16" s="28" t="s">
        <v>138</v>
      </c>
    </row>
    <row r="17" spans="1:19" x14ac:dyDescent="0.3">
      <c r="A17" s="32" t="s">
        <v>1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105</v>
      </c>
      <c r="L17" s="1" t="s">
        <v>98</v>
      </c>
      <c r="M17" s="1" t="s">
        <v>120</v>
      </c>
      <c r="N17" s="1" t="s">
        <v>114</v>
      </c>
      <c r="O17" s="31">
        <v>17</v>
      </c>
      <c r="P17" s="20">
        <v>14</v>
      </c>
      <c r="Q17" s="30">
        <v>3</v>
      </c>
      <c r="R17" s="29" t="s">
        <v>96</v>
      </c>
      <c r="S17" s="28" t="s">
        <v>126</v>
      </c>
    </row>
    <row r="18" spans="1:19" x14ac:dyDescent="0.3">
      <c r="A18" s="32" t="s">
        <v>23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1</v>
      </c>
      <c r="H18" s="20">
        <v>1</v>
      </c>
      <c r="I18" s="20">
        <v>1</v>
      </c>
      <c r="J18" s="20">
        <v>0</v>
      </c>
      <c r="K18" s="29" t="s">
        <v>105</v>
      </c>
      <c r="L18" s="1" t="s">
        <v>95</v>
      </c>
      <c r="M18" s="1" t="s">
        <v>91</v>
      </c>
      <c r="N18" s="1" t="s">
        <v>104</v>
      </c>
      <c r="O18" s="31">
        <v>13</v>
      </c>
      <c r="P18" s="20">
        <v>14</v>
      </c>
      <c r="Q18" s="30">
        <v>-1</v>
      </c>
      <c r="R18" s="29" t="s">
        <v>96</v>
      </c>
      <c r="S18" s="28" t="s">
        <v>115</v>
      </c>
    </row>
    <row r="19" spans="1:19" x14ac:dyDescent="0.3">
      <c r="A19" s="32" t="s">
        <v>14</v>
      </c>
      <c r="B19" s="1">
        <v>5</v>
      </c>
      <c r="C19" s="1">
        <v>2</v>
      </c>
      <c r="D19" s="1">
        <v>3</v>
      </c>
      <c r="E19" s="20">
        <v>0</v>
      </c>
      <c r="F19" s="30">
        <v>4</v>
      </c>
      <c r="G19" s="20">
        <v>1</v>
      </c>
      <c r="H19" s="20">
        <v>2</v>
      </c>
      <c r="I19" s="20">
        <v>0</v>
      </c>
      <c r="J19" s="20">
        <v>0</v>
      </c>
      <c r="K19" s="29" t="s">
        <v>115</v>
      </c>
      <c r="L19" s="1" t="s">
        <v>95</v>
      </c>
      <c r="M19" s="1" t="s">
        <v>98</v>
      </c>
      <c r="N19" s="1" t="s">
        <v>106</v>
      </c>
      <c r="O19" s="31">
        <v>11</v>
      </c>
      <c r="P19" s="20">
        <v>18</v>
      </c>
      <c r="Q19" s="30">
        <v>-7</v>
      </c>
      <c r="R19" s="29" t="s">
        <v>96</v>
      </c>
      <c r="S19" s="28" t="s">
        <v>134</v>
      </c>
    </row>
    <row r="20" spans="1:19" x14ac:dyDescent="0.3">
      <c r="A20" s="32" t="s">
        <v>13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105</v>
      </c>
      <c r="L20" s="1" t="s">
        <v>102</v>
      </c>
      <c r="M20" s="1" t="s">
        <v>98</v>
      </c>
      <c r="N20" s="1" t="s">
        <v>123</v>
      </c>
      <c r="O20" s="31">
        <v>16</v>
      </c>
      <c r="P20" s="20">
        <v>13</v>
      </c>
      <c r="Q20" s="30">
        <v>3</v>
      </c>
      <c r="R20" s="29" t="s">
        <v>96</v>
      </c>
      <c r="S20" s="28" t="s">
        <v>134</v>
      </c>
    </row>
    <row r="21" spans="1:19" ht="15" thickBot="1" x14ac:dyDescent="0.35">
      <c r="A21" s="27" t="s">
        <v>10</v>
      </c>
      <c r="B21" s="26">
        <v>7</v>
      </c>
      <c r="C21" s="26">
        <v>0</v>
      </c>
      <c r="D21" s="26">
        <v>5</v>
      </c>
      <c r="E21" s="24">
        <v>2</v>
      </c>
      <c r="F21" s="23">
        <v>2</v>
      </c>
      <c r="G21" s="24">
        <v>0</v>
      </c>
      <c r="H21" s="24">
        <v>0</v>
      </c>
      <c r="I21" s="24">
        <v>0</v>
      </c>
      <c r="J21" s="24">
        <v>0</v>
      </c>
      <c r="K21" s="22" t="s">
        <v>124</v>
      </c>
      <c r="L21" s="26" t="s">
        <v>140</v>
      </c>
      <c r="M21" s="26" t="s">
        <v>116</v>
      </c>
      <c r="N21" s="26" t="s">
        <v>153</v>
      </c>
      <c r="O21" s="25">
        <v>8</v>
      </c>
      <c r="P21" s="24">
        <v>28</v>
      </c>
      <c r="Q21" s="23">
        <v>-20</v>
      </c>
      <c r="R21" s="22" t="s">
        <v>154</v>
      </c>
      <c r="S21" s="21" t="s">
        <v>153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17</v>
      </c>
      <c r="B25" s="1">
        <v>6</v>
      </c>
      <c r="C25" s="1">
        <v>4</v>
      </c>
      <c r="D25" s="1">
        <v>1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0</v>
      </c>
      <c r="K25" s="29" t="s">
        <v>104</v>
      </c>
      <c r="L25" s="1" t="s">
        <v>119</v>
      </c>
      <c r="M25" s="1" t="s">
        <v>91</v>
      </c>
      <c r="N25" s="1" t="s">
        <v>104</v>
      </c>
      <c r="O25" s="31">
        <v>19</v>
      </c>
      <c r="P25" s="20">
        <v>11</v>
      </c>
      <c r="Q25" s="30">
        <v>8</v>
      </c>
      <c r="R25" s="29" t="s">
        <v>103</v>
      </c>
      <c r="S25" s="28" t="s">
        <v>139</v>
      </c>
    </row>
    <row r="26" spans="1:19" x14ac:dyDescent="0.3">
      <c r="A26" s="32" t="s">
        <v>89</v>
      </c>
      <c r="B26" s="1">
        <v>6</v>
      </c>
      <c r="C26" s="1">
        <v>4</v>
      </c>
      <c r="D26" s="1">
        <v>2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91</v>
      </c>
      <c r="L26" s="1" t="s">
        <v>126</v>
      </c>
      <c r="M26" s="1" t="s">
        <v>91</v>
      </c>
      <c r="N26" s="1" t="s">
        <v>91</v>
      </c>
      <c r="O26" s="31">
        <v>22</v>
      </c>
      <c r="P26" s="20">
        <v>15</v>
      </c>
      <c r="Q26" s="30">
        <v>7</v>
      </c>
      <c r="R26" s="29" t="s">
        <v>93</v>
      </c>
      <c r="S26" s="28" t="s">
        <v>135</v>
      </c>
    </row>
    <row r="27" spans="1:19" x14ac:dyDescent="0.3">
      <c r="A27" s="32" t="s">
        <v>0</v>
      </c>
      <c r="B27" s="1">
        <v>5</v>
      </c>
      <c r="C27" s="1">
        <v>3</v>
      </c>
      <c r="D27" s="1">
        <v>1</v>
      </c>
      <c r="E27" s="20">
        <v>1</v>
      </c>
      <c r="F27" s="30">
        <v>7</v>
      </c>
      <c r="G27" s="20">
        <v>3</v>
      </c>
      <c r="H27" s="20">
        <v>3</v>
      </c>
      <c r="I27" s="20">
        <v>0</v>
      </c>
      <c r="J27" s="20">
        <v>0</v>
      </c>
      <c r="K27" s="29" t="s">
        <v>107</v>
      </c>
      <c r="L27" s="1" t="s">
        <v>104</v>
      </c>
      <c r="M27" s="1" t="s">
        <v>91</v>
      </c>
      <c r="N27" s="1" t="s">
        <v>98</v>
      </c>
      <c r="O27" s="31">
        <v>13</v>
      </c>
      <c r="P27" s="20">
        <v>15</v>
      </c>
      <c r="Q27" s="30">
        <v>-2</v>
      </c>
      <c r="R27" s="29" t="s">
        <v>96</v>
      </c>
      <c r="S27" s="28" t="s">
        <v>129</v>
      </c>
    </row>
    <row r="28" spans="1:19" x14ac:dyDescent="0.3">
      <c r="A28" s="32" t="s">
        <v>24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105</v>
      </c>
      <c r="L28" s="1" t="s">
        <v>98</v>
      </c>
      <c r="M28" s="1" t="s">
        <v>98</v>
      </c>
      <c r="N28" s="1" t="s">
        <v>114</v>
      </c>
      <c r="O28" s="31">
        <v>26</v>
      </c>
      <c r="P28" s="20">
        <v>17</v>
      </c>
      <c r="Q28" s="30">
        <v>9</v>
      </c>
      <c r="R28" s="29" t="s">
        <v>96</v>
      </c>
      <c r="S28" s="28" t="s">
        <v>126</v>
      </c>
    </row>
    <row r="29" spans="1:19" x14ac:dyDescent="0.3">
      <c r="A29" s="32" t="s">
        <v>15</v>
      </c>
      <c r="B29" s="1">
        <v>5</v>
      </c>
      <c r="C29" s="1">
        <v>2</v>
      </c>
      <c r="D29" s="1">
        <v>1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1</v>
      </c>
      <c r="K29" s="29" t="s">
        <v>98</v>
      </c>
      <c r="L29" s="1" t="s">
        <v>112</v>
      </c>
      <c r="M29" s="1" t="s">
        <v>98</v>
      </c>
      <c r="N29" s="1" t="s">
        <v>98</v>
      </c>
      <c r="O29" s="31">
        <v>14</v>
      </c>
      <c r="P29" s="20">
        <v>14</v>
      </c>
      <c r="Q29" s="30">
        <v>0</v>
      </c>
      <c r="R29" s="29" t="s">
        <v>96</v>
      </c>
      <c r="S29" s="28" t="s">
        <v>137</v>
      </c>
    </row>
    <row r="30" spans="1:19" x14ac:dyDescent="0.3">
      <c r="A30" s="32" t="s">
        <v>22</v>
      </c>
      <c r="B30" s="1">
        <v>5</v>
      </c>
      <c r="C30" s="1">
        <v>2</v>
      </c>
      <c r="D30" s="1">
        <v>2</v>
      </c>
      <c r="E30" s="20">
        <v>1</v>
      </c>
      <c r="F30" s="30">
        <v>5</v>
      </c>
      <c r="G30" s="20">
        <v>2</v>
      </c>
      <c r="H30" s="20">
        <v>2</v>
      </c>
      <c r="I30" s="20">
        <v>0</v>
      </c>
      <c r="J30" s="20">
        <v>1</v>
      </c>
      <c r="K30" s="29" t="s">
        <v>98</v>
      </c>
      <c r="L30" s="1" t="s">
        <v>107</v>
      </c>
      <c r="M30" s="1" t="s">
        <v>102</v>
      </c>
      <c r="N30" s="1" t="s">
        <v>106</v>
      </c>
      <c r="O30" s="31">
        <v>11</v>
      </c>
      <c r="P30" s="20">
        <v>8</v>
      </c>
      <c r="Q30" s="30">
        <v>3</v>
      </c>
      <c r="R30" s="29" t="s">
        <v>96</v>
      </c>
      <c r="S30" s="28" t="s">
        <v>128</v>
      </c>
    </row>
    <row r="31" spans="1:19" x14ac:dyDescent="0.3">
      <c r="A31" s="32" t="s">
        <v>6</v>
      </c>
      <c r="B31" s="1">
        <v>5</v>
      </c>
      <c r="C31" s="1">
        <v>2</v>
      </c>
      <c r="D31" s="1">
        <v>2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0</v>
      </c>
      <c r="K31" s="29" t="s">
        <v>99</v>
      </c>
      <c r="L31" s="1" t="s">
        <v>106</v>
      </c>
      <c r="M31" s="1" t="s">
        <v>106</v>
      </c>
      <c r="N31" s="1" t="s">
        <v>127</v>
      </c>
      <c r="O31" s="31">
        <v>14</v>
      </c>
      <c r="P31" s="20">
        <v>16</v>
      </c>
      <c r="Q31" s="30">
        <v>-2</v>
      </c>
      <c r="R31" s="29" t="s">
        <v>93</v>
      </c>
      <c r="S31" s="28" t="s">
        <v>128</v>
      </c>
    </row>
    <row r="32" spans="1:19" ht="15" thickBot="1" x14ac:dyDescent="0.35">
      <c r="A32" s="32" t="s">
        <v>25</v>
      </c>
      <c r="B32" s="1">
        <v>6</v>
      </c>
      <c r="C32" s="1">
        <v>1</v>
      </c>
      <c r="D32" s="1">
        <v>5</v>
      </c>
      <c r="E32" s="20">
        <v>0</v>
      </c>
      <c r="F32" s="23">
        <v>2</v>
      </c>
      <c r="G32" s="20">
        <v>1</v>
      </c>
      <c r="H32" s="20">
        <v>1</v>
      </c>
      <c r="I32" s="20">
        <v>0</v>
      </c>
      <c r="J32" s="20">
        <v>0</v>
      </c>
      <c r="K32" s="29" t="s">
        <v>98</v>
      </c>
      <c r="L32" s="1" t="s">
        <v>132</v>
      </c>
      <c r="M32" s="1" t="s">
        <v>98</v>
      </c>
      <c r="N32" s="1" t="s">
        <v>106</v>
      </c>
      <c r="O32" s="31">
        <v>12</v>
      </c>
      <c r="P32" s="20">
        <v>26</v>
      </c>
      <c r="Q32" s="30">
        <v>-14</v>
      </c>
      <c r="R32" s="29" t="s">
        <v>101</v>
      </c>
      <c r="S32" s="28" t="s">
        <v>143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7</v>
      </c>
      <c r="C35" s="1">
        <v>5</v>
      </c>
      <c r="D35" s="1">
        <v>2</v>
      </c>
      <c r="E35" s="20">
        <v>0</v>
      </c>
      <c r="F35" s="33">
        <v>10</v>
      </c>
      <c r="G35" s="20">
        <v>3</v>
      </c>
      <c r="H35" s="20">
        <v>4</v>
      </c>
      <c r="I35" s="20">
        <v>1</v>
      </c>
      <c r="J35" s="20">
        <v>0</v>
      </c>
      <c r="K35" s="29" t="s">
        <v>114</v>
      </c>
      <c r="L35" s="1" t="s">
        <v>105</v>
      </c>
      <c r="M35" s="1" t="s">
        <v>114</v>
      </c>
      <c r="N35" s="1" t="s">
        <v>135</v>
      </c>
      <c r="O35" s="31">
        <v>25</v>
      </c>
      <c r="P35" s="20">
        <v>18</v>
      </c>
      <c r="Q35" s="30">
        <v>7</v>
      </c>
      <c r="R35" s="29" t="s">
        <v>96</v>
      </c>
      <c r="S35" s="28" t="s">
        <v>152</v>
      </c>
    </row>
    <row r="36" spans="1:19" x14ac:dyDescent="0.3">
      <c r="A36" s="32" t="s">
        <v>20</v>
      </c>
      <c r="B36" s="1">
        <v>5</v>
      </c>
      <c r="C36" s="1">
        <v>4</v>
      </c>
      <c r="D36" s="1">
        <v>0</v>
      </c>
      <c r="E36" s="20">
        <v>1</v>
      </c>
      <c r="F36" s="30">
        <v>9</v>
      </c>
      <c r="G36" s="20">
        <v>4</v>
      </c>
      <c r="H36" s="20">
        <v>4</v>
      </c>
      <c r="I36" s="20">
        <v>0</v>
      </c>
      <c r="J36" s="20">
        <v>0</v>
      </c>
      <c r="K36" s="29" t="s">
        <v>99</v>
      </c>
      <c r="L36" s="1" t="s">
        <v>120</v>
      </c>
      <c r="M36" s="1" t="s">
        <v>145</v>
      </c>
      <c r="N36" s="1" t="s">
        <v>145</v>
      </c>
      <c r="O36" s="31">
        <v>25</v>
      </c>
      <c r="P36" s="20">
        <v>17</v>
      </c>
      <c r="Q36" s="30">
        <v>8</v>
      </c>
      <c r="R36" s="29" t="s">
        <v>121</v>
      </c>
      <c r="S36" s="28" t="s">
        <v>145</v>
      </c>
    </row>
    <row r="37" spans="1:19" x14ac:dyDescent="0.3">
      <c r="A37" s="32" t="s">
        <v>31</v>
      </c>
      <c r="B37" s="1">
        <v>5</v>
      </c>
      <c r="C37" s="1">
        <v>4</v>
      </c>
      <c r="D37" s="1">
        <v>1</v>
      </c>
      <c r="E37" s="20">
        <v>0</v>
      </c>
      <c r="F37" s="30">
        <v>8</v>
      </c>
      <c r="G37" s="20">
        <v>3</v>
      </c>
      <c r="H37" s="20">
        <v>4</v>
      </c>
      <c r="I37" s="20">
        <v>0</v>
      </c>
      <c r="J37" s="20">
        <v>0</v>
      </c>
      <c r="K37" s="29" t="s">
        <v>98</v>
      </c>
      <c r="L37" s="1" t="s">
        <v>120</v>
      </c>
      <c r="M37" s="1" t="s">
        <v>105</v>
      </c>
      <c r="N37" s="1" t="s">
        <v>114</v>
      </c>
      <c r="O37" s="31">
        <v>18</v>
      </c>
      <c r="P37" s="20">
        <v>13</v>
      </c>
      <c r="Q37" s="30">
        <v>5</v>
      </c>
      <c r="R37" s="29" t="s">
        <v>103</v>
      </c>
      <c r="S37" s="28" t="s">
        <v>122</v>
      </c>
    </row>
    <row r="38" spans="1:19" x14ac:dyDescent="0.3">
      <c r="A38" s="32" t="s">
        <v>7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4</v>
      </c>
      <c r="H38" s="20">
        <v>4</v>
      </c>
      <c r="I38" s="20">
        <v>0</v>
      </c>
      <c r="J38" s="20">
        <v>0</v>
      </c>
      <c r="K38" s="29" t="s">
        <v>98</v>
      </c>
      <c r="L38" s="1" t="s">
        <v>114</v>
      </c>
      <c r="M38" s="1" t="s">
        <v>115</v>
      </c>
      <c r="N38" s="1" t="s">
        <v>115</v>
      </c>
      <c r="O38" s="31">
        <v>26</v>
      </c>
      <c r="P38" s="20">
        <v>17</v>
      </c>
      <c r="Q38" s="30">
        <v>9</v>
      </c>
      <c r="R38" s="29" t="s">
        <v>103</v>
      </c>
      <c r="S38" s="28" t="s">
        <v>135</v>
      </c>
    </row>
    <row r="39" spans="1:19" x14ac:dyDescent="0.3">
      <c r="A39" s="32" t="s">
        <v>8</v>
      </c>
      <c r="B39" s="1">
        <v>5</v>
      </c>
      <c r="C39" s="1">
        <v>3</v>
      </c>
      <c r="D39" s="1">
        <v>2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105</v>
      </c>
      <c r="L39" s="1" t="s">
        <v>98</v>
      </c>
      <c r="M39" s="1" t="s">
        <v>98</v>
      </c>
      <c r="N39" s="1" t="s">
        <v>115</v>
      </c>
      <c r="O39" s="31">
        <v>13</v>
      </c>
      <c r="P39" s="20">
        <v>17</v>
      </c>
      <c r="Q39" s="30">
        <v>-4</v>
      </c>
      <c r="R39" s="29" t="s">
        <v>96</v>
      </c>
      <c r="S39" s="28" t="s">
        <v>126</v>
      </c>
    </row>
    <row r="40" spans="1:19" x14ac:dyDescent="0.3">
      <c r="A40" s="32" t="s">
        <v>3</v>
      </c>
      <c r="B40" s="1">
        <v>7</v>
      </c>
      <c r="C40" s="1">
        <v>2</v>
      </c>
      <c r="D40" s="1">
        <v>5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123</v>
      </c>
      <c r="M40" s="1" t="s">
        <v>115</v>
      </c>
      <c r="N40" s="1" t="s">
        <v>115</v>
      </c>
      <c r="O40" s="31">
        <v>24</v>
      </c>
      <c r="P40" s="20">
        <v>35</v>
      </c>
      <c r="Q40" s="30">
        <v>-11</v>
      </c>
      <c r="R40" s="29" t="s">
        <v>117</v>
      </c>
      <c r="S40" s="28" t="s">
        <v>155</v>
      </c>
    </row>
    <row r="41" spans="1:19" x14ac:dyDescent="0.3">
      <c r="A41" s="32" t="s">
        <v>18</v>
      </c>
      <c r="B41" s="1">
        <v>4</v>
      </c>
      <c r="C41" s="1">
        <v>0</v>
      </c>
      <c r="D41" s="1">
        <v>2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95</v>
      </c>
      <c r="L41" s="1" t="s">
        <v>108</v>
      </c>
      <c r="M41" s="1" t="s">
        <v>146</v>
      </c>
      <c r="N41" s="1" t="s">
        <v>108</v>
      </c>
      <c r="O41" s="31">
        <v>10</v>
      </c>
      <c r="P41" s="20">
        <v>17</v>
      </c>
      <c r="Q41" s="30">
        <v>-7</v>
      </c>
      <c r="R41" s="29" t="s">
        <v>117</v>
      </c>
      <c r="S41" s="28" t="s">
        <v>116</v>
      </c>
    </row>
    <row r="42" spans="1:19" ht="15" thickBot="1" x14ac:dyDescent="0.35">
      <c r="A42" s="27" t="s">
        <v>27</v>
      </c>
      <c r="B42" s="26">
        <v>5</v>
      </c>
      <c r="C42" s="26">
        <v>0</v>
      </c>
      <c r="D42" s="26">
        <v>5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110</v>
      </c>
      <c r="L42" s="26" t="s">
        <v>102</v>
      </c>
      <c r="M42" s="26" t="s">
        <v>132</v>
      </c>
      <c r="N42" s="26" t="s">
        <v>144</v>
      </c>
      <c r="O42" s="25">
        <v>8</v>
      </c>
      <c r="P42" s="24">
        <v>27</v>
      </c>
      <c r="Q42" s="23">
        <v>-19</v>
      </c>
      <c r="R42" s="22" t="s">
        <v>131</v>
      </c>
      <c r="S42" s="21" t="s">
        <v>144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1611B18-308A-49E7-9584-1247266B2F3F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432B-3459-4BBB-B966-E9E80CC17F13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6</v>
      </c>
      <c r="C9" s="1">
        <v>3</v>
      </c>
      <c r="D9" s="1">
        <v>2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99</v>
      </c>
      <c r="M9" s="1" t="s">
        <v>120</v>
      </c>
      <c r="N9" s="1" t="s">
        <v>129</v>
      </c>
      <c r="O9" s="31">
        <v>19</v>
      </c>
      <c r="P9" s="20">
        <v>22</v>
      </c>
      <c r="Q9" s="30">
        <v>-3</v>
      </c>
      <c r="R9" s="29" t="s">
        <v>103</v>
      </c>
      <c r="S9" s="28" t="s">
        <v>138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9</v>
      </c>
      <c r="B16" s="1">
        <v>7</v>
      </c>
      <c r="C16" s="1">
        <v>3</v>
      </c>
      <c r="D16" s="1">
        <v>3</v>
      </c>
      <c r="E16" s="20">
        <v>1</v>
      </c>
      <c r="F16" s="30">
        <v>7</v>
      </c>
      <c r="G16" s="20">
        <v>1</v>
      </c>
      <c r="H16" s="20">
        <v>2</v>
      </c>
      <c r="I16" s="20">
        <v>1</v>
      </c>
      <c r="J16" s="20">
        <v>1</v>
      </c>
      <c r="K16" s="29" t="s">
        <v>105</v>
      </c>
      <c r="L16" s="1" t="s">
        <v>127</v>
      </c>
      <c r="M16" s="1" t="s">
        <v>107</v>
      </c>
      <c r="N16" s="1" t="s">
        <v>119</v>
      </c>
      <c r="O16" s="31">
        <v>25</v>
      </c>
      <c r="P16" s="20">
        <v>22</v>
      </c>
      <c r="Q16" s="30">
        <v>3</v>
      </c>
      <c r="R16" s="29" t="s">
        <v>96</v>
      </c>
      <c r="S16" s="28" t="s">
        <v>158</v>
      </c>
    </row>
    <row r="17" spans="1:19" x14ac:dyDescent="0.3">
      <c r="A17" s="32" t="s">
        <v>14</v>
      </c>
      <c r="B17" s="1">
        <v>6</v>
      </c>
      <c r="C17" s="1">
        <v>3</v>
      </c>
      <c r="D17" s="1">
        <v>3</v>
      </c>
      <c r="E17" s="20">
        <v>0</v>
      </c>
      <c r="F17" s="30">
        <v>6</v>
      </c>
      <c r="G17" s="20">
        <v>1</v>
      </c>
      <c r="H17" s="20">
        <v>3</v>
      </c>
      <c r="I17" s="20">
        <v>0</v>
      </c>
      <c r="J17" s="20">
        <v>0</v>
      </c>
      <c r="K17" s="29" t="s">
        <v>115</v>
      </c>
      <c r="L17" s="1" t="s">
        <v>98</v>
      </c>
      <c r="M17" s="1" t="s">
        <v>98</v>
      </c>
      <c r="N17" s="1" t="s">
        <v>115</v>
      </c>
      <c r="O17" s="31">
        <v>16</v>
      </c>
      <c r="P17" s="20">
        <v>22</v>
      </c>
      <c r="Q17" s="30">
        <v>-6</v>
      </c>
      <c r="R17" s="29" t="s">
        <v>93</v>
      </c>
      <c r="S17" s="28" t="s">
        <v>156</v>
      </c>
    </row>
    <row r="18" spans="1:19" x14ac:dyDescent="0.3">
      <c r="A18" s="32" t="s">
        <v>13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3</v>
      </c>
      <c r="H18" s="20">
        <v>3</v>
      </c>
      <c r="I18" s="20">
        <v>0</v>
      </c>
      <c r="J18" s="20">
        <v>0</v>
      </c>
      <c r="K18" s="29" t="s">
        <v>114</v>
      </c>
      <c r="L18" s="1" t="s">
        <v>102</v>
      </c>
      <c r="M18" s="1" t="s">
        <v>98</v>
      </c>
      <c r="N18" s="1" t="s">
        <v>123</v>
      </c>
      <c r="O18" s="31">
        <v>19</v>
      </c>
      <c r="P18" s="20">
        <v>15</v>
      </c>
      <c r="Q18" s="30">
        <v>4</v>
      </c>
      <c r="R18" s="29" t="s">
        <v>93</v>
      </c>
      <c r="S18" s="28" t="s">
        <v>156</v>
      </c>
    </row>
    <row r="19" spans="1:19" x14ac:dyDescent="0.3">
      <c r="A19" s="32" t="s">
        <v>1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105</v>
      </c>
      <c r="L19" s="1" t="s">
        <v>106</v>
      </c>
      <c r="M19" s="1" t="s">
        <v>114</v>
      </c>
      <c r="N19" s="1" t="s">
        <v>126</v>
      </c>
      <c r="O19" s="31">
        <v>19</v>
      </c>
      <c r="P19" s="20">
        <v>18</v>
      </c>
      <c r="Q19" s="30">
        <v>1</v>
      </c>
      <c r="R19" s="29" t="s">
        <v>101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17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0</v>
      </c>
      <c r="K26" s="29" t="s">
        <v>104</v>
      </c>
      <c r="L26" s="1" t="s">
        <v>128</v>
      </c>
      <c r="M26" s="1" t="s">
        <v>98</v>
      </c>
      <c r="N26" s="1" t="s">
        <v>105</v>
      </c>
      <c r="O26" s="31">
        <v>21</v>
      </c>
      <c r="P26" s="20">
        <v>16</v>
      </c>
      <c r="Q26" s="30">
        <v>5</v>
      </c>
      <c r="R26" s="29" t="s">
        <v>96</v>
      </c>
      <c r="S26" s="28" t="s">
        <v>170</v>
      </c>
    </row>
    <row r="27" spans="1:19" x14ac:dyDescent="0.3">
      <c r="A27" s="32" t="s">
        <v>0</v>
      </c>
      <c r="B27" s="1">
        <v>6</v>
      </c>
      <c r="C27" s="1">
        <v>4</v>
      </c>
      <c r="D27" s="1">
        <v>1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104</v>
      </c>
      <c r="M27" s="1" t="s">
        <v>91</v>
      </c>
      <c r="N27" s="1" t="s">
        <v>105</v>
      </c>
      <c r="O27" s="31">
        <v>18</v>
      </c>
      <c r="P27" s="20">
        <v>17</v>
      </c>
      <c r="Q27" s="30">
        <v>1</v>
      </c>
      <c r="R27" s="29" t="s">
        <v>93</v>
      </c>
      <c r="S27" s="28" t="s">
        <v>139</v>
      </c>
    </row>
    <row r="28" spans="1:19" x14ac:dyDescent="0.3">
      <c r="A28" s="32" t="s">
        <v>24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105</v>
      </c>
      <c r="L28" s="1" t="s">
        <v>105</v>
      </c>
      <c r="M28" s="1" t="s">
        <v>105</v>
      </c>
      <c r="N28" s="1" t="s">
        <v>122</v>
      </c>
      <c r="O28" s="31">
        <v>29</v>
      </c>
      <c r="P28" s="20">
        <v>19</v>
      </c>
      <c r="Q28" s="30">
        <v>10</v>
      </c>
      <c r="R28" s="29" t="s">
        <v>93</v>
      </c>
      <c r="S28" s="28" t="s">
        <v>135</v>
      </c>
    </row>
    <row r="29" spans="1:19" x14ac:dyDescent="0.3">
      <c r="A29" s="32" t="s">
        <v>6</v>
      </c>
      <c r="B29" s="1">
        <v>6</v>
      </c>
      <c r="C29" s="1">
        <v>3</v>
      </c>
      <c r="D29" s="1">
        <v>2</v>
      </c>
      <c r="E29" s="20">
        <v>1</v>
      </c>
      <c r="F29" s="30">
        <v>7</v>
      </c>
      <c r="G29" s="20">
        <v>3</v>
      </c>
      <c r="H29" s="20">
        <v>3</v>
      </c>
      <c r="I29" s="20">
        <v>0</v>
      </c>
      <c r="J29" s="20">
        <v>0</v>
      </c>
      <c r="K29" s="29" t="s">
        <v>99</v>
      </c>
      <c r="L29" s="1" t="s">
        <v>115</v>
      </c>
      <c r="M29" s="1" t="s">
        <v>106</v>
      </c>
      <c r="N29" s="1" t="s">
        <v>127</v>
      </c>
      <c r="O29" s="31">
        <v>21</v>
      </c>
      <c r="P29" s="20">
        <v>18</v>
      </c>
      <c r="Q29" s="30">
        <v>3</v>
      </c>
      <c r="R29" s="29" t="s">
        <v>103</v>
      </c>
      <c r="S29" s="28" t="s">
        <v>138</v>
      </c>
    </row>
    <row r="30" spans="1:19" x14ac:dyDescent="0.3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1</v>
      </c>
      <c r="K30" s="29" t="s">
        <v>106</v>
      </c>
      <c r="L30" s="1" t="s">
        <v>112</v>
      </c>
      <c r="M30" s="1" t="s">
        <v>98</v>
      </c>
      <c r="N30" s="1" t="s">
        <v>106</v>
      </c>
      <c r="O30" s="31">
        <v>16</v>
      </c>
      <c r="P30" s="20">
        <v>19</v>
      </c>
      <c r="Q30" s="30">
        <v>-3</v>
      </c>
      <c r="R30" s="29" t="s">
        <v>101</v>
      </c>
      <c r="S30" s="28" t="s">
        <v>157</v>
      </c>
    </row>
    <row r="31" spans="1:19" x14ac:dyDescent="0.3">
      <c r="A31" s="32" t="s">
        <v>22</v>
      </c>
      <c r="B31" s="1">
        <v>6</v>
      </c>
      <c r="C31" s="1">
        <v>2</v>
      </c>
      <c r="D31" s="1">
        <v>3</v>
      </c>
      <c r="E31" s="20">
        <v>1</v>
      </c>
      <c r="F31" s="30">
        <v>5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107</v>
      </c>
      <c r="M31" s="1" t="s">
        <v>110</v>
      </c>
      <c r="N31" s="1" t="s">
        <v>123</v>
      </c>
      <c r="O31" s="31">
        <v>13</v>
      </c>
      <c r="P31" s="20">
        <v>11</v>
      </c>
      <c r="Q31" s="30">
        <v>2</v>
      </c>
      <c r="R31" s="29" t="s">
        <v>101</v>
      </c>
      <c r="S31" s="28" t="s">
        <v>169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F124626-6272-422D-B2C0-8EDCBA072540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354E7-5A84-44E5-BEDE-B7562E67ECE9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v>7</v>
      </c>
      <c r="C4" s="40">
        <v>5</v>
      </c>
      <c r="D4" s="40">
        <v>2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114</v>
      </c>
      <c r="L4" s="40" t="s">
        <v>105</v>
      </c>
      <c r="M4" s="40" t="s">
        <v>95</v>
      </c>
      <c r="N4" s="40" t="s">
        <v>105</v>
      </c>
      <c r="O4" s="39">
        <v>26</v>
      </c>
      <c r="P4" s="38">
        <v>16</v>
      </c>
      <c r="Q4" s="33">
        <v>10</v>
      </c>
      <c r="R4" s="37" t="s">
        <v>113</v>
      </c>
      <c r="S4" s="36" t="s">
        <v>152</v>
      </c>
    </row>
    <row r="5" spans="1:20" x14ac:dyDescent="0.3">
      <c r="A5" s="32" t="s">
        <v>11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4</v>
      </c>
      <c r="I5" s="20">
        <v>1</v>
      </c>
      <c r="J5" s="30">
        <v>0</v>
      </c>
      <c r="K5" s="29" t="s">
        <v>105</v>
      </c>
      <c r="L5" s="1" t="s">
        <v>114</v>
      </c>
      <c r="M5" s="1" t="s">
        <v>105</v>
      </c>
      <c r="N5" s="1" t="s">
        <v>122</v>
      </c>
      <c r="O5" s="31">
        <v>21</v>
      </c>
      <c r="P5" s="20">
        <v>19</v>
      </c>
      <c r="Q5" s="30">
        <v>2</v>
      </c>
      <c r="R5" s="29" t="s">
        <v>96</v>
      </c>
      <c r="S5" s="28" t="s">
        <v>152</v>
      </c>
    </row>
    <row r="6" spans="1:20" x14ac:dyDescent="0.3">
      <c r="A6" s="32" t="s">
        <v>19</v>
      </c>
      <c r="B6" s="1">
        <v>7</v>
      </c>
      <c r="C6" s="1">
        <v>3</v>
      </c>
      <c r="D6" s="1">
        <v>2</v>
      </c>
      <c r="E6" s="20">
        <v>2</v>
      </c>
      <c r="F6" s="30">
        <v>8</v>
      </c>
      <c r="G6" s="31">
        <v>2</v>
      </c>
      <c r="H6" s="20">
        <v>3</v>
      </c>
      <c r="I6" s="20">
        <v>0</v>
      </c>
      <c r="J6" s="30">
        <v>0</v>
      </c>
      <c r="K6" s="29" t="s">
        <v>95</v>
      </c>
      <c r="L6" s="1" t="s">
        <v>161</v>
      </c>
      <c r="M6" s="1" t="s">
        <v>95</v>
      </c>
      <c r="N6" s="1" t="s">
        <v>105</v>
      </c>
      <c r="O6" s="31">
        <v>19</v>
      </c>
      <c r="P6" s="20">
        <v>20</v>
      </c>
      <c r="Q6" s="30">
        <v>-1</v>
      </c>
      <c r="R6" s="29" t="s">
        <v>93</v>
      </c>
      <c r="S6" s="28" t="s">
        <v>162</v>
      </c>
    </row>
    <row r="7" spans="1:20" x14ac:dyDescent="0.3">
      <c r="A7" s="32" t="s">
        <v>5</v>
      </c>
      <c r="B7" s="1">
        <v>6</v>
      </c>
      <c r="C7" s="1">
        <v>4</v>
      </c>
      <c r="D7" s="1">
        <v>2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106</v>
      </c>
      <c r="M7" s="1" t="s">
        <v>92</v>
      </c>
      <c r="N7" s="1" t="s">
        <v>126</v>
      </c>
      <c r="O7" s="31">
        <v>17</v>
      </c>
      <c r="P7" s="20">
        <v>16</v>
      </c>
      <c r="Q7" s="30">
        <v>1</v>
      </c>
      <c r="R7" s="29" t="s">
        <v>96</v>
      </c>
      <c r="S7" s="28" t="s">
        <v>135</v>
      </c>
    </row>
    <row r="8" spans="1:20" x14ac:dyDescent="0.3">
      <c r="A8" s="32" t="s">
        <v>28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1</v>
      </c>
      <c r="K8" s="29" t="s">
        <v>126</v>
      </c>
      <c r="L8" s="1" t="s">
        <v>100</v>
      </c>
      <c r="M8" s="1" t="s">
        <v>99</v>
      </c>
      <c r="N8" s="1" t="s">
        <v>107</v>
      </c>
      <c r="O8" s="31">
        <v>19</v>
      </c>
      <c r="P8" s="20">
        <v>26</v>
      </c>
      <c r="Q8" s="30">
        <v>-7</v>
      </c>
      <c r="R8" s="29" t="s">
        <v>96</v>
      </c>
      <c r="S8" s="28" t="s">
        <v>158</v>
      </c>
    </row>
    <row r="9" spans="1:20" x14ac:dyDescent="0.3">
      <c r="A9" s="32" t="s">
        <v>16</v>
      </c>
      <c r="B9" s="1">
        <v>7</v>
      </c>
      <c r="C9" s="1">
        <v>3</v>
      </c>
      <c r="D9" s="1">
        <v>3</v>
      </c>
      <c r="E9" s="20">
        <v>1</v>
      </c>
      <c r="F9" s="30">
        <v>7</v>
      </c>
      <c r="G9" s="31">
        <v>1</v>
      </c>
      <c r="H9" s="20">
        <v>1</v>
      </c>
      <c r="I9" s="20">
        <v>2</v>
      </c>
      <c r="J9" s="30">
        <v>0</v>
      </c>
      <c r="K9" s="29" t="s">
        <v>115</v>
      </c>
      <c r="L9" s="1" t="s">
        <v>107</v>
      </c>
      <c r="M9" s="1" t="s">
        <v>120</v>
      </c>
      <c r="N9" s="1" t="s">
        <v>138</v>
      </c>
      <c r="O9" s="31">
        <v>23</v>
      </c>
      <c r="P9" s="20">
        <v>27</v>
      </c>
      <c r="Q9" s="30">
        <v>-4</v>
      </c>
      <c r="R9" s="29" t="s">
        <v>96</v>
      </c>
      <c r="S9" s="28" t="s">
        <v>158</v>
      </c>
    </row>
    <row r="10" spans="1:20" x14ac:dyDescent="0.3">
      <c r="A10" s="32" t="s">
        <v>4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2</v>
      </c>
      <c r="H10" s="20">
        <v>3</v>
      </c>
      <c r="I10" s="20">
        <v>0</v>
      </c>
      <c r="J10" s="30">
        <v>1</v>
      </c>
      <c r="K10" s="29" t="s">
        <v>115</v>
      </c>
      <c r="L10" s="1" t="s">
        <v>107</v>
      </c>
      <c r="M10" s="1" t="s">
        <v>102</v>
      </c>
      <c r="N10" s="1" t="s">
        <v>106</v>
      </c>
      <c r="O10" s="31">
        <v>24</v>
      </c>
      <c r="P10" s="20">
        <v>23</v>
      </c>
      <c r="Q10" s="30">
        <v>1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1</v>
      </c>
      <c r="K11" s="29" t="s">
        <v>136</v>
      </c>
      <c r="L11" s="1" t="s">
        <v>97</v>
      </c>
      <c r="M11" s="1" t="s">
        <v>99</v>
      </c>
      <c r="N11" s="1" t="s">
        <v>159</v>
      </c>
      <c r="O11" s="31">
        <v>14</v>
      </c>
      <c r="P11" s="20">
        <v>20</v>
      </c>
      <c r="Q11" s="30">
        <v>-6</v>
      </c>
      <c r="R11" s="29" t="s">
        <v>109</v>
      </c>
      <c r="S11" s="28" t="s">
        <v>160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8</v>
      </c>
      <c r="C15" s="1">
        <v>6</v>
      </c>
      <c r="D15" s="1">
        <v>2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106</v>
      </c>
      <c r="M15" s="1" t="s">
        <v>98</v>
      </c>
      <c r="N15" s="1" t="s">
        <v>135</v>
      </c>
      <c r="O15" s="31">
        <v>27</v>
      </c>
      <c r="P15" s="20">
        <v>14</v>
      </c>
      <c r="Q15" s="30">
        <v>13</v>
      </c>
      <c r="R15" s="29" t="s">
        <v>103</v>
      </c>
      <c r="S15" s="28" t="s">
        <v>166</v>
      </c>
    </row>
    <row r="16" spans="1:20" x14ac:dyDescent="0.3">
      <c r="A16" s="32" t="s">
        <v>1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114</v>
      </c>
      <c r="L16" s="1" t="s">
        <v>106</v>
      </c>
      <c r="M16" s="1" t="s">
        <v>114</v>
      </c>
      <c r="N16" s="1" t="s">
        <v>135</v>
      </c>
      <c r="O16" s="31">
        <v>24</v>
      </c>
      <c r="P16" s="20">
        <v>22</v>
      </c>
      <c r="Q16" s="30">
        <v>2</v>
      </c>
      <c r="R16" s="29" t="s">
        <v>93</v>
      </c>
      <c r="S16" s="28" t="s">
        <v>173</v>
      </c>
    </row>
    <row r="17" spans="1:19" x14ac:dyDescent="0.3">
      <c r="A17" s="32" t="s">
        <v>9</v>
      </c>
      <c r="B17" s="1">
        <v>7</v>
      </c>
      <c r="C17" s="1">
        <v>3</v>
      </c>
      <c r="D17" s="1">
        <v>3</v>
      </c>
      <c r="E17" s="20">
        <v>1</v>
      </c>
      <c r="F17" s="30">
        <v>7</v>
      </c>
      <c r="G17" s="20">
        <v>1</v>
      </c>
      <c r="H17" s="20">
        <v>2</v>
      </c>
      <c r="I17" s="20">
        <v>1</v>
      </c>
      <c r="J17" s="20">
        <v>1</v>
      </c>
      <c r="K17" s="29" t="s">
        <v>105</v>
      </c>
      <c r="L17" s="1" t="s">
        <v>127</v>
      </c>
      <c r="M17" s="1" t="s">
        <v>107</v>
      </c>
      <c r="N17" s="1" t="s">
        <v>119</v>
      </c>
      <c r="O17" s="31">
        <v>25</v>
      </c>
      <c r="P17" s="20">
        <v>22</v>
      </c>
      <c r="Q17" s="30">
        <v>3</v>
      </c>
      <c r="R17" s="29" t="s">
        <v>96</v>
      </c>
      <c r="S17" s="28" t="s">
        <v>158</v>
      </c>
    </row>
    <row r="18" spans="1:19" x14ac:dyDescent="0.3">
      <c r="A18" s="32" t="s">
        <v>14</v>
      </c>
      <c r="B18" s="1">
        <v>6</v>
      </c>
      <c r="C18" s="1">
        <v>3</v>
      </c>
      <c r="D18" s="1">
        <v>3</v>
      </c>
      <c r="E18" s="20">
        <v>0</v>
      </c>
      <c r="F18" s="30">
        <v>6</v>
      </c>
      <c r="G18" s="20">
        <v>1</v>
      </c>
      <c r="H18" s="20">
        <v>3</v>
      </c>
      <c r="I18" s="20">
        <v>0</v>
      </c>
      <c r="J18" s="20">
        <v>0</v>
      </c>
      <c r="K18" s="29" t="s">
        <v>115</v>
      </c>
      <c r="L18" s="1" t="s">
        <v>98</v>
      </c>
      <c r="M18" s="1" t="s">
        <v>98</v>
      </c>
      <c r="N18" s="1" t="s">
        <v>115</v>
      </c>
      <c r="O18" s="31">
        <v>16</v>
      </c>
      <c r="P18" s="20">
        <v>22</v>
      </c>
      <c r="Q18" s="30">
        <v>-6</v>
      </c>
      <c r="R18" s="29" t="s">
        <v>93</v>
      </c>
      <c r="S18" s="28" t="s">
        <v>156</v>
      </c>
    </row>
    <row r="19" spans="1:19" x14ac:dyDescent="0.3">
      <c r="A19" s="32" t="s">
        <v>13</v>
      </c>
      <c r="B19" s="1">
        <v>6</v>
      </c>
      <c r="C19" s="1">
        <v>3</v>
      </c>
      <c r="D19" s="1">
        <v>3</v>
      </c>
      <c r="E19" s="20">
        <v>0</v>
      </c>
      <c r="F19" s="30">
        <v>6</v>
      </c>
      <c r="G19" s="20">
        <v>3</v>
      </c>
      <c r="H19" s="20">
        <v>3</v>
      </c>
      <c r="I19" s="20">
        <v>0</v>
      </c>
      <c r="J19" s="20">
        <v>0</v>
      </c>
      <c r="K19" s="29" t="s">
        <v>114</v>
      </c>
      <c r="L19" s="1" t="s">
        <v>102</v>
      </c>
      <c r="M19" s="1" t="s">
        <v>98</v>
      </c>
      <c r="N19" s="1" t="s">
        <v>123</v>
      </c>
      <c r="O19" s="31">
        <v>19</v>
      </c>
      <c r="P19" s="20">
        <v>15</v>
      </c>
      <c r="Q19" s="30">
        <v>4</v>
      </c>
      <c r="R19" s="29" t="s">
        <v>93</v>
      </c>
      <c r="S19" s="28" t="s">
        <v>156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8</v>
      </c>
      <c r="C21" s="26">
        <v>0</v>
      </c>
      <c r="D21" s="26">
        <v>5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140</v>
      </c>
      <c r="M21" s="26" t="s">
        <v>116</v>
      </c>
      <c r="N21" s="26" t="s">
        <v>153</v>
      </c>
      <c r="O21" s="25">
        <v>10</v>
      </c>
      <c r="P21" s="24">
        <v>31</v>
      </c>
      <c r="Q21" s="23">
        <v>-21</v>
      </c>
      <c r="R21" s="22" t="s">
        <v>167</v>
      </c>
      <c r="S21" s="21" t="s">
        <v>168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7</v>
      </c>
      <c r="C25" s="1">
        <v>5</v>
      </c>
      <c r="D25" s="1">
        <v>2</v>
      </c>
      <c r="E25" s="20">
        <v>0</v>
      </c>
      <c r="F25" s="30">
        <v>10</v>
      </c>
      <c r="G25" s="20">
        <v>5</v>
      </c>
      <c r="H25" s="20">
        <v>5</v>
      </c>
      <c r="I25" s="20">
        <v>0</v>
      </c>
      <c r="J25" s="20">
        <v>0</v>
      </c>
      <c r="K25" s="29" t="s">
        <v>104</v>
      </c>
      <c r="L25" s="1" t="s">
        <v>126</v>
      </c>
      <c r="M25" s="1" t="s">
        <v>91</v>
      </c>
      <c r="N25" s="1" t="s">
        <v>91</v>
      </c>
      <c r="O25" s="31">
        <v>27</v>
      </c>
      <c r="P25" s="20">
        <v>19</v>
      </c>
      <c r="Q25" s="30">
        <v>8</v>
      </c>
      <c r="R25" s="29" t="s">
        <v>103</v>
      </c>
      <c r="S25" s="28" t="s">
        <v>152</v>
      </c>
    </row>
    <row r="26" spans="1:19" x14ac:dyDescent="0.3">
      <c r="A26" s="32" t="s">
        <v>24</v>
      </c>
      <c r="B26" s="1">
        <v>7</v>
      </c>
      <c r="C26" s="1">
        <v>4</v>
      </c>
      <c r="D26" s="1">
        <v>2</v>
      </c>
      <c r="E26" s="20">
        <v>1</v>
      </c>
      <c r="F26" s="30">
        <v>9</v>
      </c>
      <c r="G26" s="20">
        <v>4</v>
      </c>
      <c r="H26" s="20">
        <v>4</v>
      </c>
      <c r="I26" s="20">
        <v>0</v>
      </c>
      <c r="J26" s="20">
        <v>1</v>
      </c>
      <c r="K26" s="29" t="s">
        <v>119</v>
      </c>
      <c r="L26" s="1" t="s">
        <v>105</v>
      </c>
      <c r="M26" s="1" t="s">
        <v>119</v>
      </c>
      <c r="N26" s="1" t="s">
        <v>139</v>
      </c>
      <c r="O26" s="31">
        <v>31</v>
      </c>
      <c r="P26" s="20">
        <v>22</v>
      </c>
      <c r="Q26" s="30">
        <v>9</v>
      </c>
      <c r="R26" s="29" t="s">
        <v>96</v>
      </c>
      <c r="S26" s="28" t="s">
        <v>170</v>
      </c>
    </row>
    <row r="27" spans="1:19" x14ac:dyDescent="0.3">
      <c r="A27" s="32" t="s">
        <v>17</v>
      </c>
      <c r="B27" s="1">
        <v>7</v>
      </c>
      <c r="C27" s="1">
        <v>4</v>
      </c>
      <c r="D27" s="1">
        <v>2</v>
      </c>
      <c r="E27" s="20">
        <v>1</v>
      </c>
      <c r="F27" s="30">
        <v>9</v>
      </c>
      <c r="G27" s="20">
        <v>4</v>
      </c>
      <c r="H27" s="20">
        <v>4</v>
      </c>
      <c r="I27" s="20">
        <v>0</v>
      </c>
      <c r="J27" s="20">
        <v>0</v>
      </c>
      <c r="K27" s="29" t="s">
        <v>104</v>
      </c>
      <c r="L27" s="1" t="s">
        <v>128</v>
      </c>
      <c r="M27" s="1" t="s">
        <v>98</v>
      </c>
      <c r="N27" s="1" t="s">
        <v>105</v>
      </c>
      <c r="O27" s="31">
        <v>21</v>
      </c>
      <c r="P27" s="20">
        <v>16</v>
      </c>
      <c r="Q27" s="30">
        <v>5</v>
      </c>
      <c r="R27" s="29" t="s">
        <v>96</v>
      </c>
      <c r="S27" s="28" t="s">
        <v>170</v>
      </c>
    </row>
    <row r="28" spans="1:19" x14ac:dyDescent="0.3">
      <c r="A28" s="32" t="s">
        <v>0</v>
      </c>
      <c r="B28" s="1">
        <v>6</v>
      </c>
      <c r="C28" s="1">
        <v>4</v>
      </c>
      <c r="D28" s="1">
        <v>1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104</v>
      </c>
      <c r="M28" s="1" t="s">
        <v>91</v>
      </c>
      <c r="N28" s="1" t="s">
        <v>105</v>
      </c>
      <c r="O28" s="31">
        <v>18</v>
      </c>
      <c r="P28" s="20">
        <v>17</v>
      </c>
      <c r="Q28" s="30">
        <v>1</v>
      </c>
      <c r="R28" s="29" t="s">
        <v>93</v>
      </c>
      <c r="S28" s="28" t="s">
        <v>139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99</v>
      </c>
      <c r="L30" s="1" t="s">
        <v>115</v>
      </c>
      <c r="M30" s="1" t="s">
        <v>106</v>
      </c>
      <c r="N30" s="1" t="s">
        <v>127</v>
      </c>
      <c r="O30" s="31">
        <v>21</v>
      </c>
      <c r="P30" s="20">
        <v>18</v>
      </c>
      <c r="Q30" s="30">
        <v>3</v>
      </c>
      <c r="R30" s="29" t="s">
        <v>103</v>
      </c>
      <c r="S30" s="28" t="s">
        <v>138</v>
      </c>
    </row>
    <row r="31" spans="1:19" x14ac:dyDescent="0.3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1</v>
      </c>
      <c r="K31" s="29" t="s">
        <v>106</v>
      </c>
      <c r="L31" s="1" t="s">
        <v>112</v>
      </c>
      <c r="M31" s="1" t="s">
        <v>98</v>
      </c>
      <c r="N31" s="1" t="s">
        <v>106</v>
      </c>
      <c r="O31" s="31">
        <v>16</v>
      </c>
      <c r="P31" s="20">
        <v>19</v>
      </c>
      <c r="Q31" s="30">
        <v>-3</v>
      </c>
      <c r="R31" s="29" t="s">
        <v>101</v>
      </c>
      <c r="S31" s="28" t="s">
        <v>157</v>
      </c>
    </row>
    <row r="32" spans="1:19" ht="15" thickBot="1" x14ac:dyDescent="0.35">
      <c r="A32" s="32" t="s">
        <v>25</v>
      </c>
      <c r="B32" s="1">
        <v>7</v>
      </c>
      <c r="C32" s="1">
        <v>2</v>
      </c>
      <c r="D32" s="1">
        <v>5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105</v>
      </c>
      <c r="L32" s="1" t="s">
        <v>132</v>
      </c>
      <c r="M32" s="1" t="s">
        <v>98</v>
      </c>
      <c r="N32" s="1" t="s">
        <v>106</v>
      </c>
      <c r="O32" s="31">
        <v>17</v>
      </c>
      <c r="P32" s="20">
        <v>29</v>
      </c>
      <c r="Q32" s="30">
        <v>-12</v>
      </c>
      <c r="R32" s="29" t="s">
        <v>93</v>
      </c>
      <c r="S32" s="28" t="s">
        <v>155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8</v>
      </c>
      <c r="C35" s="1">
        <v>6</v>
      </c>
      <c r="D35" s="1">
        <v>2</v>
      </c>
      <c r="E35" s="20">
        <v>0</v>
      </c>
      <c r="F35" s="33">
        <v>12</v>
      </c>
      <c r="G35" s="20">
        <v>4</v>
      </c>
      <c r="H35" s="20">
        <v>5</v>
      </c>
      <c r="I35" s="20">
        <v>1</v>
      </c>
      <c r="J35" s="20">
        <v>0</v>
      </c>
      <c r="K35" s="29" t="s">
        <v>114</v>
      </c>
      <c r="L35" s="1" t="s">
        <v>114</v>
      </c>
      <c r="M35" s="1" t="s">
        <v>114</v>
      </c>
      <c r="N35" s="1" t="s">
        <v>152</v>
      </c>
      <c r="O35" s="31">
        <v>30</v>
      </c>
      <c r="P35" s="20">
        <v>20</v>
      </c>
      <c r="Q35" s="30">
        <v>10</v>
      </c>
      <c r="R35" s="29" t="s">
        <v>93</v>
      </c>
      <c r="S35" s="28" t="s">
        <v>166</v>
      </c>
    </row>
    <row r="36" spans="1:19" x14ac:dyDescent="0.3">
      <c r="A36" s="32" t="s">
        <v>20</v>
      </c>
      <c r="B36" s="1">
        <v>6</v>
      </c>
      <c r="C36" s="1">
        <v>5</v>
      </c>
      <c r="D36" s="1">
        <v>0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99</v>
      </c>
      <c r="L36" s="1" t="s">
        <v>149</v>
      </c>
      <c r="M36" s="1" t="s">
        <v>171</v>
      </c>
      <c r="N36" s="1" t="s">
        <v>171</v>
      </c>
      <c r="O36" s="31">
        <v>29</v>
      </c>
      <c r="P36" s="20">
        <v>18</v>
      </c>
      <c r="Q36" s="30">
        <v>11</v>
      </c>
      <c r="R36" s="29" t="s">
        <v>150</v>
      </c>
      <c r="S36" s="28" t="s">
        <v>171</v>
      </c>
    </row>
    <row r="37" spans="1:19" x14ac:dyDescent="0.3">
      <c r="A37" s="32" t="s">
        <v>7</v>
      </c>
      <c r="B37" s="1">
        <v>7</v>
      </c>
      <c r="C37" s="1">
        <v>5</v>
      </c>
      <c r="D37" s="1">
        <v>2</v>
      </c>
      <c r="E37" s="20">
        <v>0</v>
      </c>
      <c r="F37" s="30">
        <v>10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122</v>
      </c>
      <c r="M37" s="1" t="s">
        <v>115</v>
      </c>
      <c r="N37" s="1" t="s">
        <v>115</v>
      </c>
      <c r="O37" s="31">
        <v>29</v>
      </c>
      <c r="P37" s="20">
        <v>19</v>
      </c>
      <c r="Q37" s="30">
        <v>10</v>
      </c>
      <c r="R37" s="29" t="s">
        <v>113</v>
      </c>
      <c r="S37" s="28" t="s">
        <v>152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6</v>
      </c>
      <c r="C39" s="1">
        <v>3</v>
      </c>
      <c r="D39" s="1">
        <v>3</v>
      </c>
      <c r="E39" s="20">
        <v>0</v>
      </c>
      <c r="F39" s="30">
        <v>6</v>
      </c>
      <c r="G39" s="20">
        <v>0</v>
      </c>
      <c r="H39" s="20">
        <v>3</v>
      </c>
      <c r="I39" s="20">
        <v>0</v>
      </c>
      <c r="J39" s="20">
        <v>0</v>
      </c>
      <c r="K39" s="29" t="s">
        <v>115</v>
      </c>
      <c r="L39" s="1" t="s">
        <v>98</v>
      </c>
      <c r="M39" s="1" t="s">
        <v>98</v>
      </c>
      <c r="N39" s="1" t="s">
        <v>115</v>
      </c>
      <c r="O39" s="31">
        <v>16</v>
      </c>
      <c r="P39" s="20">
        <v>23</v>
      </c>
      <c r="Q39" s="30">
        <v>-7</v>
      </c>
      <c r="R39" s="29" t="s">
        <v>101</v>
      </c>
      <c r="S39" s="28" t="s">
        <v>156</v>
      </c>
    </row>
    <row r="40" spans="1:19" x14ac:dyDescent="0.3">
      <c r="A40" s="32" t="s">
        <v>3</v>
      </c>
      <c r="B40" s="1">
        <v>8</v>
      </c>
      <c r="C40" s="1">
        <v>2</v>
      </c>
      <c r="D40" s="1">
        <v>6</v>
      </c>
      <c r="E40" s="20">
        <v>0</v>
      </c>
      <c r="F40" s="30">
        <v>4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133</v>
      </c>
      <c r="M40" s="1" t="s">
        <v>115</v>
      </c>
      <c r="N40" s="1" t="s">
        <v>115</v>
      </c>
      <c r="O40" s="31">
        <v>26</v>
      </c>
      <c r="P40" s="20">
        <v>38</v>
      </c>
      <c r="Q40" s="30">
        <v>-12</v>
      </c>
      <c r="R40" s="29" t="s">
        <v>131</v>
      </c>
      <c r="S40" s="28" t="s">
        <v>172</v>
      </c>
    </row>
    <row r="41" spans="1:19" x14ac:dyDescent="0.3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106</v>
      </c>
      <c r="M41" s="1" t="s">
        <v>133</v>
      </c>
      <c r="N41" s="1" t="s">
        <v>143</v>
      </c>
      <c r="O41" s="31">
        <v>12</v>
      </c>
      <c r="P41" s="20">
        <v>29</v>
      </c>
      <c r="Q41" s="30">
        <v>-17</v>
      </c>
      <c r="R41" s="29" t="s">
        <v>93</v>
      </c>
      <c r="S41" s="28" t="s">
        <v>143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57031A7-DC37-4495-BA88-DE8A20451EE5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370B4-F869-4B93-8922-F9FF97215DE8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1">
        <v>7</v>
      </c>
      <c r="C17" s="1">
        <v>4</v>
      </c>
      <c r="D17" s="1">
        <v>3</v>
      </c>
      <c r="E17" s="20">
        <v>0</v>
      </c>
      <c r="F17" s="30">
        <v>8</v>
      </c>
      <c r="G17" s="20">
        <v>4</v>
      </c>
      <c r="H17" s="20">
        <v>4</v>
      </c>
      <c r="I17" s="20">
        <v>0</v>
      </c>
      <c r="J17" s="20">
        <v>0</v>
      </c>
      <c r="K17" s="29" t="s">
        <v>114</v>
      </c>
      <c r="L17" s="1" t="s">
        <v>106</v>
      </c>
      <c r="M17" s="1" t="s">
        <v>114</v>
      </c>
      <c r="N17" s="1" t="s">
        <v>135</v>
      </c>
      <c r="O17" s="31">
        <v>24</v>
      </c>
      <c r="P17" s="20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7</v>
      </c>
      <c r="C19" s="1">
        <v>3</v>
      </c>
      <c r="D19" s="1">
        <v>3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127</v>
      </c>
      <c r="M19" s="1" t="s">
        <v>107</v>
      </c>
      <c r="N19" s="1" t="s">
        <v>119</v>
      </c>
      <c r="O19" s="31">
        <v>25</v>
      </c>
      <c r="P19" s="20">
        <v>22</v>
      </c>
      <c r="Q19" s="30">
        <v>3</v>
      </c>
      <c r="R19" s="29" t="s">
        <v>96</v>
      </c>
      <c r="S19" s="28" t="s">
        <v>158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17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0</v>
      </c>
      <c r="K26" s="29" t="s">
        <v>120</v>
      </c>
      <c r="L26" s="1" t="s">
        <v>128</v>
      </c>
      <c r="M26" s="1" t="s">
        <v>105</v>
      </c>
      <c r="N26" s="1" t="s">
        <v>114</v>
      </c>
      <c r="O26" s="31">
        <v>26</v>
      </c>
      <c r="P26" s="20">
        <v>20</v>
      </c>
      <c r="Q26" s="30">
        <v>6</v>
      </c>
      <c r="R26" s="29" t="s">
        <v>93</v>
      </c>
      <c r="S26" s="28" t="s">
        <v>184</v>
      </c>
    </row>
    <row r="27" spans="1:19" x14ac:dyDescent="0.3">
      <c r="A27" s="32" t="s">
        <v>0</v>
      </c>
      <c r="B27" s="1">
        <v>7</v>
      </c>
      <c r="C27" s="1">
        <v>4</v>
      </c>
      <c r="D27" s="1">
        <v>1</v>
      </c>
      <c r="E27" s="20">
        <v>2</v>
      </c>
      <c r="F27" s="30">
        <v>10</v>
      </c>
      <c r="G27" s="20">
        <v>4</v>
      </c>
      <c r="H27" s="20">
        <v>4</v>
      </c>
      <c r="I27" s="20">
        <v>0</v>
      </c>
      <c r="J27" s="20">
        <v>0</v>
      </c>
      <c r="K27" s="29" t="s">
        <v>119</v>
      </c>
      <c r="L27" s="1" t="s">
        <v>111</v>
      </c>
      <c r="M27" s="1" t="s">
        <v>99</v>
      </c>
      <c r="N27" s="1" t="s">
        <v>119</v>
      </c>
      <c r="O27" s="31">
        <v>21</v>
      </c>
      <c r="P27" s="20">
        <v>21</v>
      </c>
      <c r="Q27" s="30">
        <v>0</v>
      </c>
      <c r="R27" s="29" t="s">
        <v>96</v>
      </c>
      <c r="S27" s="28" t="s">
        <v>186</v>
      </c>
    </row>
    <row r="28" spans="1:19" x14ac:dyDescent="0.3">
      <c r="A28" s="32" t="s">
        <v>24</v>
      </c>
      <c r="B28" s="1">
        <v>7</v>
      </c>
      <c r="C28" s="1">
        <v>4</v>
      </c>
      <c r="D28" s="1">
        <v>2</v>
      </c>
      <c r="E28" s="20">
        <v>1</v>
      </c>
      <c r="F28" s="30">
        <v>9</v>
      </c>
      <c r="G28" s="20">
        <v>4</v>
      </c>
      <c r="H28" s="20">
        <v>4</v>
      </c>
      <c r="I28" s="20">
        <v>0</v>
      </c>
      <c r="J28" s="20">
        <v>1</v>
      </c>
      <c r="K28" s="29" t="s">
        <v>119</v>
      </c>
      <c r="L28" s="1" t="s">
        <v>105</v>
      </c>
      <c r="M28" s="1" t="s">
        <v>119</v>
      </c>
      <c r="N28" s="1" t="s">
        <v>139</v>
      </c>
      <c r="O28" s="31">
        <v>31</v>
      </c>
      <c r="P28" s="20">
        <v>22</v>
      </c>
      <c r="Q28" s="30">
        <v>9</v>
      </c>
      <c r="R28" s="29" t="s">
        <v>96</v>
      </c>
      <c r="S28" s="28" t="s">
        <v>170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67193A-0C71-4F39-BE1F-BB83170F2E01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DBA19-BC13-4436-B8C9-401BB9AF358B}">
  <dimension ref="A1:T47"/>
  <sheetViews>
    <sheetView workbookViewId="0">
      <selection sqref="A1:S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52">
        <v>7</v>
      </c>
      <c r="C17" s="52">
        <v>4</v>
      </c>
      <c r="D17" s="52">
        <v>3</v>
      </c>
      <c r="E17" s="53">
        <v>0</v>
      </c>
      <c r="F17" s="30">
        <v>8</v>
      </c>
      <c r="G17" s="53">
        <v>4</v>
      </c>
      <c r="H17" s="53">
        <v>4</v>
      </c>
      <c r="I17" s="53">
        <v>0</v>
      </c>
      <c r="J17" s="53">
        <v>0</v>
      </c>
      <c r="K17" s="29" t="s">
        <v>114</v>
      </c>
      <c r="L17" s="52" t="s">
        <v>106</v>
      </c>
      <c r="M17" s="52" t="s">
        <v>114</v>
      </c>
      <c r="N17" s="52" t="s">
        <v>135</v>
      </c>
      <c r="O17" s="31">
        <v>24</v>
      </c>
      <c r="P17" s="53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1AA7EA0-5635-49D4-B686-31B622D6C906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5EB68-8855-4501-B57D-3EAE522E42A6}">
  <dimension ref="A1:T47"/>
  <sheetViews>
    <sheetView workbookViewId="0">
      <selection activeCell="T1" sqref="T1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11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4</v>
      </c>
      <c r="H4" s="38">
        <v>4</v>
      </c>
      <c r="I4" s="38">
        <v>2</v>
      </c>
      <c r="J4" s="33">
        <v>0</v>
      </c>
      <c r="K4" s="37" t="s">
        <v>114</v>
      </c>
      <c r="L4" s="40" t="s">
        <v>114</v>
      </c>
      <c r="M4" s="40" t="s">
        <v>105</v>
      </c>
      <c r="N4" s="40" t="s">
        <v>148</v>
      </c>
      <c r="O4" s="39">
        <v>23</v>
      </c>
      <c r="P4" s="38">
        <v>20</v>
      </c>
      <c r="Q4" s="33">
        <v>3</v>
      </c>
      <c r="R4" s="37" t="s">
        <v>93</v>
      </c>
      <c r="S4" s="36" t="s">
        <v>166</v>
      </c>
    </row>
    <row r="5" spans="1:20" x14ac:dyDescent="0.3">
      <c r="A5" s="32" t="s">
        <v>29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114</v>
      </c>
      <c r="L5" s="1" t="s">
        <v>105</v>
      </c>
      <c r="M5" s="1" t="s">
        <v>95</v>
      </c>
      <c r="N5" s="1" t="s">
        <v>105</v>
      </c>
      <c r="O5" s="31">
        <v>26</v>
      </c>
      <c r="P5" s="20">
        <v>16</v>
      </c>
      <c r="Q5" s="30">
        <v>10</v>
      </c>
      <c r="R5" s="29" t="s">
        <v>113</v>
      </c>
      <c r="S5" s="28" t="s">
        <v>152</v>
      </c>
    </row>
    <row r="6" spans="1:20" x14ac:dyDescent="0.3">
      <c r="A6" s="32" t="s">
        <v>19</v>
      </c>
      <c r="B6" s="1">
        <v>8</v>
      </c>
      <c r="C6" s="1">
        <v>4</v>
      </c>
      <c r="D6" s="1">
        <v>2</v>
      </c>
      <c r="E6" s="20">
        <v>2</v>
      </c>
      <c r="F6" s="30">
        <v>10</v>
      </c>
      <c r="G6" s="31">
        <v>2</v>
      </c>
      <c r="H6" s="20">
        <v>4</v>
      </c>
      <c r="I6" s="20">
        <v>0</v>
      </c>
      <c r="J6" s="30">
        <v>0</v>
      </c>
      <c r="K6" s="29" t="s">
        <v>98</v>
      </c>
      <c r="L6" s="1" t="s">
        <v>161</v>
      </c>
      <c r="M6" s="1" t="s">
        <v>95</v>
      </c>
      <c r="N6" s="1" t="s">
        <v>105</v>
      </c>
      <c r="O6" s="31">
        <v>22</v>
      </c>
      <c r="P6" s="20">
        <v>22</v>
      </c>
      <c r="Q6" s="30">
        <v>0</v>
      </c>
      <c r="R6" s="29" t="s">
        <v>103</v>
      </c>
      <c r="S6" s="28" t="s">
        <v>176</v>
      </c>
    </row>
    <row r="7" spans="1:20" x14ac:dyDescent="0.3">
      <c r="A7" s="32" t="s">
        <v>5</v>
      </c>
      <c r="B7" s="1">
        <v>7</v>
      </c>
      <c r="C7" s="1">
        <v>5</v>
      </c>
      <c r="D7" s="1">
        <v>2</v>
      </c>
      <c r="E7" s="20">
        <v>0</v>
      </c>
      <c r="F7" s="30">
        <v>10</v>
      </c>
      <c r="G7" s="31">
        <v>4</v>
      </c>
      <c r="H7" s="20">
        <v>5</v>
      </c>
      <c r="I7" s="20">
        <v>0</v>
      </c>
      <c r="J7" s="30">
        <v>0</v>
      </c>
      <c r="K7" s="29" t="s">
        <v>149</v>
      </c>
      <c r="L7" s="1" t="s">
        <v>106</v>
      </c>
      <c r="M7" s="1" t="s">
        <v>92</v>
      </c>
      <c r="N7" s="1" t="s">
        <v>126</v>
      </c>
      <c r="O7" s="31">
        <v>21</v>
      </c>
      <c r="P7" s="20">
        <v>19</v>
      </c>
      <c r="Q7" s="30">
        <v>2</v>
      </c>
      <c r="R7" s="29" t="s">
        <v>93</v>
      </c>
      <c r="S7" s="28" t="s">
        <v>152</v>
      </c>
    </row>
    <row r="8" spans="1:20" x14ac:dyDescent="0.3">
      <c r="A8" s="32" t="s">
        <v>28</v>
      </c>
      <c r="B8" s="1">
        <v>8</v>
      </c>
      <c r="C8" s="1">
        <v>4</v>
      </c>
      <c r="D8" s="1">
        <v>3</v>
      </c>
      <c r="E8" s="20">
        <v>1</v>
      </c>
      <c r="F8" s="30">
        <v>9</v>
      </c>
      <c r="G8" s="31">
        <v>2</v>
      </c>
      <c r="H8" s="20">
        <v>4</v>
      </c>
      <c r="I8" s="20">
        <v>0</v>
      </c>
      <c r="J8" s="30">
        <v>1</v>
      </c>
      <c r="K8" s="29" t="s">
        <v>126</v>
      </c>
      <c r="L8" s="1" t="s">
        <v>107</v>
      </c>
      <c r="M8" s="1" t="s">
        <v>111</v>
      </c>
      <c r="N8" s="1" t="s">
        <v>119</v>
      </c>
      <c r="O8" s="31">
        <v>24</v>
      </c>
      <c r="P8" s="20">
        <v>30</v>
      </c>
      <c r="Q8" s="30">
        <v>-6</v>
      </c>
      <c r="R8" s="29" t="s">
        <v>93</v>
      </c>
      <c r="S8" s="28" t="s">
        <v>174</v>
      </c>
    </row>
    <row r="9" spans="1:20" x14ac:dyDescent="0.3">
      <c r="A9" s="32" t="s">
        <v>4</v>
      </c>
      <c r="B9" s="1">
        <v>8</v>
      </c>
      <c r="C9" s="1">
        <v>3</v>
      </c>
      <c r="D9" s="1">
        <v>3</v>
      </c>
      <c r="E9" s="20">
        <v>2</v>
      </c>
      <c r="F9" s="30">
        <v>8</v>
      </c>
      <c r="G9" s="31">
        <v>2</v>
      </c>
      <c r="H9" s="20">
        <v>3</v>
      </c>
      <c r="I9" s="20">
        <v>0</v>
      </c>
      <c r="J9" s="30">
        <v>1</v>
      </c>
      <c r="K9" s="29" t="s">
        <v>128</v>
      </c>
      <c r="L9" s="1" t="s">
        <v>107</v>
      </c>
      <c r="M9" s="1" t="s">
        <v>124</v>
      </c>
      <c r="N9" s="1" t="s">
        <v>127</v>
      </c>
      <c r="O9" s="31">
        <v>28</v>
      </c>
      <c r="P9" s="20">
        <v>28</v>
      </c>
      <c r="Q9" s="30">
        <v>0</v>
      </c>
      <c r="R9" s="29" t="s">
        <v>101</v>
      </c>
      <c r="S9" s="28" t="s">
        <v>177</v>
      </c>
    </row>
    <row r="10" spans="1:20" x14ac:dyDescent="0.3">
      <c r="A10" s="32" t="s">
        <v>16</v>
      </c>
      <c r="B10" s="1">
        <v>7</v>
      </c>
      <c r="C10" s="1">
        <v>3</v>
      </c>
      <c r="D10" s="1">
        <v>3</v>
      </c>
      <c r="E10" s="20">
        <v>1</v>
      </c>
      <c r="F10" s="30">
        <v>7</v>
      </c>
      <c r="G10" s="31">
        <v>1</v>
      </c>
      <c r="H10" s="20">
        <v>1</v>
      </c>
      <c r="I10" s="20">
        <v>2</v>
      </c>
      <c r="J10" s="30">
        <v>0</v>
      </c>
      <c r="K10" s="29" t="s">
        <v>115</v>
      </c>
      <c r="L10" s="1" t="s">
        <v>107</v>
      </c>
      <c r="M10" s="1" t="s">
        <v>120</v>
      </c>
      <c r="N10" s="1" t="s">
        <v>138</v>
      </c>
      <c r="O10" s="31">
        <v>23</v>
      </c>
      <c r="P10" s="20">
        <v>27</v>
      </c>
      <c r="Q10" s="30">
        <v>-4</v>
      </c>
      <c r="R10" s="29" t="s">
        <v>96</v>
      </c>
      <c r="S10" s="28" t="s">
        <v>158</v>
      </c>
    </row>
    <row r="11" spans="1:20" ht="15" thickBot="1" x14ac:dyDescent="0.35">
      <c r="A11" s="32" t="s">
        <v>21</v>
      </c>
      <c r="B11" s="1">
        <v>7</v>
      </c>
      <c r="C11" s="1">
        <v>2</v>
      </c>
      <c r="D11" s="1">
        <v>3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1</v>
      </c>
      <c r="K11" s="29" t="s">
        <v>169</v>
      </c>
      <c r="L11" s="1" t="s">
        <v>97</v>
      </c>
      <c r="M11" s="1" t="s">
        <v>99</v>
      </c>
      <c r="N11" s="1" t="s">
        <v>137</v>
      </c>
      <c r="O11" s="31">
        <v>16</v>
      </c>
      <c r="P11" s="20">
        <v>21</v>
      </c>
      <c r="Q11" s="30">
        <v>-5</v>
      </c>
      <c r="R11" s="29" t="s">
        <v>93</v>
      </c>
      <c r="S11" s="28" t="s">
        <v>175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v>8</v>
      </c>
      <c r="C14" s="1">
        <v>6</v>
      </c>
      <c r="D14" s="1">
        <v>1</v>
      </c>
      <c r="E14" s="20">
        <v>1</v>
      </c>
      <c r="F14" s="33">
        <v>13</v>
      </c>
      <c r="G14" s="20">
        <v>5</v>
      </c>
      <c r="H14" s="20">
        <v>6</v>
      </c>
      <c r="I14" s="20">
        <v>0</v>
      </c>
      <c r="J14" s="20">
        <v>0</v>
      </c>
      <c r="K14" s="29" t="s">
        <v>119</v>
      </c>
      <c r="L14" s="1" t="s">
        <v>149</v>
      </c>
      <c r="M14" s="1" t="s">
        <v>114</v>
      </c>
      <c r="N14" s="1" t="s">
        <v>139</v>
      </c>
      <c r="O14" s="31">
        <v>31</v>
      </c>
      <c r="P14" s="20">
        <v>19</v>
      </c>
      <c r="Q14" s="30">
        <v>12</v>
      </c>
      <c r="R14" s="29" t="s">
        <v>163</v>
      </c>
      <c r="S14" s="28" t="s">
        <v>164</v>
      </c>
    </row>
    <row r="15" spans="1:20" x14ac:dyDescent="0.3">
      <c r="A15" s="32" t="s">
        <v>12</v>
      </c>
      <c r="B15" s="1">
        <v>9</v>
      </c>
      <c r="C15" s="1">
        <v>6</v>
      </c>
      <c r="D15" s="1">
        <v>3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165</v>
      </c>
      <c r="L15" s="1" t="s">
        <v>123</v>
      </c>
      <c r="M15" s="1" t="s">
        <v>106</v>
      </c>
      <c r="N15" s="1" t="s">
        <v>173</v>
      </c>
      <c r="O15" s="31">
        <v>28</v>
      </c>
      <c r="P15" s="20">
        <v>21</v>
      </c>
      <c r="Q15" s="30">
        <v>7</v>
      </c>
      <c r="R15" s="29" t="s">
        <v>96</v>
      </c>
      <c r="S15" s="28" t="s">
        <v>178</v>
      </c>
    </row>
    <row r="16" spans="1:20" x14ac:dyDescent="0.3">
      <c r="A16" s="32" t="s">
        <v>14</v>
      </c>
      <c r="B16" s="1">
        <v>7</v>
      </c>
      <c r="C16" s="1">
        <v>4</v>
      </c>
      <c r="D16" s="1">
        <v>3</v>
      </c>
      <c r="E16" s="20">
        <v>0</v>
      </c>
      <c r="F16" s="30">
        <v>8</v>
      </c>
      <c r="G16" s="20">
        <v>2</v>
      </c>
      <c r="H16" s="20">
        <v>4</v>
      </c>
      <c r="I16" s="20">
        <v>0</v>
      </c>
      <c r="J16" s="20">
        <v>0</v>
      </c>
      <c r="K16" s="29" t="s">
        <v>126</v>
      </c>
      <c r="L16" s="1" t="s">
        <v>98</v>
      </c>
      <c r="M16" s="1" t="s">
        <v>105</v>
      </c>
      <c r="N16" s="1" t="s">
        <v>126</v>
      </c>
      <c r="O16" s="31">
        <v>23</v>
      </c>
      <c r="P16" s="20">
        <v>23</v>
      </c>
      <c r="Q16" s="30">
        <v>0</v>
      </c>
      <c r="R16" s="29" t="s">
        <v>103</v>
      </c>
      <c r="S16" s="28" t="s">
        <v>173</v>
      </c>
    </row>
    <row r="17" spans="1:19" x14ac:dyDescent="0.3">
      <c r="A17" s="32" t="s">
        <v>1</v>
      </c>
      <c r="B17" s="52">
        <v>7</v>
      </c>
      <c r="C17" s="52">
        <v>4</v>
      </c>
      <c r="D17" s="52">
        <v>3</v>
      </c>
      <c r="E17" s="53">
        <v>0</v>
      </c>
      <c r="F17" s="30">
        <v>8</v>
      </c>
      <c r="G17" s="53">
        <v>4</v>
      </c>
      <c r="H17" s="53">
        <v>4</v>
      </c>
      <c r="I17" s="53">
        <v>0</v>
      </c>
      <c r="J17" s="53">
        <v>0</v>
      </c>
      <c r="K17" s="29" t="s">
        <v>114</v>
      </c>
      <c r="L17" s="52" t="s">
        <v>106</v>
      </c>
      <c r="M17" s="52" t="s">
        <v>114</v>
      </c>
      <c r="N17" s="52" t="s">
        <v>135</v>
      </c>
      <c r="O17" s="31">
        <v>24</v>
      </c>
      <c r="P17" s="53">
        <v>22</v>
      </c>
      <c r="Q17" s="30">
        <v>2</v>
      </c>
      <c r="R17" s="29" t="s">
        <v>93</v>
      </c>
      <c r="S17" s="28" t="s">
        <v>173</v>
      </c>
    </row>
    <row r="18" spans="1:19" x14ac:dyDescent="0.3">
      <c r="A18" s="32" t="s">
        <v>13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1</v>
      </c>
      <c r="K18" s="29" t="s">
        <v>114</v>
      </c>
      <c r="L18" s="1" t="s">
        <v>124</v>
      </c>
      <c r="M18" s="1" t="s">
        <v>98</v>
      </c>
      <c r="N18" s="1" t="s">
        <v>136</v>
      </c>
      <c r="O18" s="31">
        <v>20</v>
      </c>
      <c r="P18" s="20">
        <v>17</v>
      </c>
      <c r="Q18" s="30">
        <v>3</v>
      </c>
      <c r="R18" s="29" t="s">
        <v>96</v>
      </c>
      <c r="S18" s="28" t="s">
        <v>158</v>
      </c>
    </row>
    <row r="19" spans="1:19" x14ac:dyDescent="0.3">
      <c r="A19" s="32" t="s">
        <v>9</v>
      </c>
      <c r="B19" s="1">
        <v>8</v>
      </c>
      <c r="C19" s="1">
        <v>3</v>
      </c>
      <c r="D19" s="1">
        <v>4</v>
      </c>
      <c r="E19" s="20">
        <v>1</v>
      </c>
      <c r="F19" s="30">
        <v>7</v>
      </c>
      <c r="G19" s="20">
        <v>1</v>
      </c>
      <c r="H19" s="20">
        <v>2</v>
      </c>
      <c r="I19" s="20">
        <v>1</v>
      </c>
      <c r="J19" s="20">
        <v>1</v>
      </c>
      <c r="K19" s="29" t="s">
        <v>105</v>
      </c>
      <c r="L19" s="1" t="s">
        <v>136</v>
      </c>
      <c r="M19" s="1" t="s">
        <v>107</v>
      </c>
      <c r="N19" s="1" t="s">
        <v>119</v>
      </c>
      <c r="O19" s="31">
        <v>27</v>
      </c>
      <c r="P19" s="20">
        <v>27</v>
      </c>
      <c r="Q19" s="30">
        <v>0</v>
      </c>
      <c r="R19" s="29" t="s">
        <v>101</v>
      </c>
      <c r="S19" s="28" t="s">
        <v>191</v>
      </c>
    </row>
    <row r="20" spans="1:19" x14ac:dyDescent="0.3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1</v>
      </c>
      <c r="H20" s="20">
        <v>1</v>
      </c>
      <c r="I20" s="20">
        <v>1</v>
      </c>
      <c r="J20" s="20">
        <v>0</v>
      </c>
      <c r="K20" s="29" t="s">
        <v>115</v>
      </c>
      <c r="L20" s="1" t="s">
        <v>95</v>
      </c>
      <c r="M20" s="1" t="s">
        <v>91</v>
      </c>
      <c r="N20" s="1" t="s">
        <v>105</v>
      </c>
      <c r="O20" s="31">
        <v>16</v>
      </c>
      <c r="P20" s="20">
        <v>21</v>
      </c>
      <c r="Q20" s="30">
        <v>-5</v>
      </c>
      <c r="R20" s="29" t="s">
        <v>101</v>
      </c>
      <c r="S20" s="28" t="s">
        <v>134</v>
      </c>
    </row>
    <row r="21" spans="1:19" ht="15" thickBot="1" x14ac:dyDescent="0.35">
      <c r="A21" s="27" t="s">
        <v>10</v>
      </c>
      <c r="B21" s="26">
        <v>9</v>
      </c>
      <c r="C21" s="26">
        <v>0</v>
      </c>
      <c r="D21" s="26">
        <v>6</v>
      </c>
      <c r="E21" s="24">
        <v>3</v>
      </c>
      <c r="F21" s="23">
        <v>3</v>
      </c>
      <c r="G21" s="24">
        <v>0</v>
      </c>
      <c r="H21" s="24">
        <v>0</v>
      </c>
      <c r="I21" s="24">
        <v>0</v>
      </c>
      <c r="J21" s="24">
        <v>1</v>
      </c>
      <c r="K21" s="22" t="s">
        <v>116</v>
      </c>
      <c r="L21" s="26" t="s">
        <v>179</v>
      </c>
      <c r="M21" s="26" t="s">
        <v>116</v>
      </c>
      <c r="N21" s="26" t="s">
        <v>180</v>
      </c>
      <c r="O21" s="25">
        <v>11</v>
      </c>
      <c r="P21" s="24">
        <v>33</v>
      </c>
      <c r="Q21" s="23">
        <v>-22</v>
      </c>
      <c r="R21" s="22" t="s">
        <v>181</v>
      </c>
      <c r="S21" s="21" t="s">
        <v>182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89</v>
      </c>
      <c r="B25" s="1">
        <v>8</v>
      </c>
      <c r="C25" s="1">
        <v>6</v>
      </c>
      <c r="D25" s="1">
        <v>2</v>
      </c>
      <c r="E25" s="20">
        <v>0</v>
      </c>
      <c r="F25" s="30">
        <v>12</v>
      </c>
      <c r="G25" s="20">
        <v>6</v>
      </c>
      <c r="H25" s="20">
        <v>6</v>
      </c>
      <c r="I25" s="20">
        <v>0</v>
      </c>
      <c r="J25" s="20">
        <v>0</v>
      </c>
      <c r="K25" s="29" t="s">
        <v>104</v>
      </c>
      <c r="L25" s="1" t="s">
        <v>135</v>
      </c>
      <c r="M25" s="1" t="s">
        <v>91</v>
      </c>
      <c r="N25" s="1" t="s">
        <v>104</v>
      </c>
      <c r="O25" s="31">
        <v>31</v>
      </c>
      <c r="P25" s="20">
        <v>21</v>
      </c>
      <c r="Q25" s="30">
        <v>10</v>
      </c>
      <c r="R25" s="29" t="s">
        <v>113</v>
      </c>
      <c r="S25" s="28" t="s">
        <v>166</v>
      </c>
    </row>
    <row r="26" spans="1:19" x14ac:dyDescent="0.3">
      <c r="A26" s="32" t="s">
        <v>24</v>
      </c>
      <c r="B26" s="1">
        <v>8</v>
      </c>
      <c r="C26" s="1">
        <v>5</v>
      </c>
      <c r="D26" s="1">
        <v>2</v>
      </c>
      <c r="E26" s="20">
        <v>1</v>
      </c>
      <c r="F26" s="30">
        <v>11</v>
      </c>
      <c r="G26" s="20">
        <v>5</v>
      </c>
      <c r="H26" s="20">
        <v>5</v>
      </c>
      <c r="I26" s="20">
        <v>0</v>
      </c>
      <c r="J26" s="20">
        <v>1</v>
      </c>
      <c r="K26" s="29" t="s">
        <v>129</v>
      </c>
      <c r="L26" s="1" t="s">
        <v>105</v>
      </c>
      <c r="M26" s="1" t="s">
        <v>119</v>
      </c>
      <c r="N26" s="1" t="s">
        <v>139</v>
      </c>
      <c r="O26" s="31">
        <v>36</v>
      </c>
      <c r="P26" s="20">
        <v>24</v>
      </c>
      <c r="Q26" s="30">
        <v>12</v>
      </c>
      <c r="R26" s="29" t="s">
        <v>93</v>
      </c>
      <c r="S26" s="28" t="s">
        <v>184</v>
      </c>
    </row>
    <row r="27" spans="1:19" x14ac:dyDescent="0.3">
      <c r="A27" s="32" t="s">
        <v>17</v>
      </c>
      <c r="B27" s="1">
        <v>8</v>
      </c>
      <c r="C27" s="1">
        <v>5</v>
      </c>
      <c r="D27" s="1">
        <v>2</v>
      </c>
      <c r="E27" s="20">
        <v>1</v>
      </c>
      <c r="F27" s="30">
        <v>11</v>
      </c>
      <c r="G27" s="20">
        <v>5</v>
      </c>
      <c r="H27" s="20">
        <v>5</v>
      </c>
      <c r="I27" s="20">
        <v>0</v>
      </c>
      <c r="J27" s="20">
        <v>0</v>
      </c>
      <c r="K27" s="29" t="s">
        <v>120</v>
      </c>
      <c r="L27" s="1" t="s">
        <v>128</v>
      </c>
      <c r="M27" s="1" t="s">
        <v>105</v>
      </c>
      <c r="N27" s="1" t="s">
        <v>114</v>
      </c>
      <c r="O27" s="31">
        <v>26</v>
      </c>
      <c r="P27" s="20">
        <v>20</v>
      </c>
      <c r="Q27" s="30">
        <v>6</v>
      </c>
      <c r="R27" s="29" t="s">
        <v>93</v>
      </c>
      <c r="S27" s="28" t="s">
        <v>184</v>
      </c>
    </row>
    <row r="28" spans="1:19" x14ac:dyDescent="0.3">
      <c r="A28" s="32" t="s">
        <v>0</v>
      </c>
      <c r="B28" s="1">
        <v>7</v>
      </c>
      <c r="C28" s="1">
        <v>4</v>
      </c>
      <c r="D28" s="1">
        <v>1</v>
      </c>
      <c r="E28" s="20">
        <v>2</v>
      </c>
      <c r="F28" s="30">
        <v>10</v>
      </c>
      <c r="G28" s="20">
        <v>4</v>
      </c>
      <c r="H28" s="20">
        <v>4</v>
      </c>
      <c r="I28" s="20">
        <v>0</v>
      </c>
      <c r="J28" s="20">
        <v>0</v>
      </c>
      <c r="K28" s="29" t="s">
        <v>119</v>
      </c>
      <c r="L28" s="1" t="s">
        <v>111</v>
      </c>
      <c r="M28" s="1" t="s">
        <v>99</v>
      </c>
      <c r="N28" s="1" t="s">
        <v>119</v>
      </c>
      <c r="O28" s="31">
        <v>21</v>
      </c>
      <c r="P28" s="20">
        <v>21</v>
      </c>
      <c r="Q28" s="30">
        <v>0</v>
      </c>
      <c r="R28" s="29" t="s">
        <v>96</v>
      </c>
      <c r="S28" s="28" t="s">
        <v>186</v>
      </c>
    </row>
    <row r="29" spans="1:19" x14ac:dyDescent="0.3">
      <c r="A29" s="32" t="s">
        <v>22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2</v>
      </c>
      <c r="H29" s="20">
        <v>2</v>
      </c>
      <c r="I29" s="20">
        <v>1</v>
      </c>
      <c r="J29" s="20">
        <v>1</v>
      </c>
      <c r="K29" s="29" t="s">
        <v>106</v>
      </c>
      <c r="L29" s="1" t="s">
        <v>119</v>
      </c>
      <c r="M29" s="1" t="s">
        <v>123</v>
      </c>
      <c r="N29" s="1" t="s">
        <v>134</v>
      </c>
      <c r="O29" s="31">
        <v>16</v>
      </c>
      <c r="P29" s="20">
        <v>13</v>
      </c>
      <c r="Q29" s="30">
        <v>3</v>
      </c>
      <c r="R29" s="29" t="s">
        <v>93</v>
      </c>
      <c r="S29" s="28" t="s">
        <v>158</v>
      </c>
    </row>
    <row r="30" spans="1:19" x14ac:dyDescent="0.3">
      <c r="A30" s="32" t="s">
        <v>15</v>
      </c>
      <c r="B30" s="1">
        <v>7</v>
      </c>
      <c r="C30" s="1">
        <v>2</v>
      </c>
      <c r="D30" s="1">
        <v>2</v>
      </c>
      <c r="E30" s="20">
        <v>3</v>
      </c>
      <c r="F30" s="30">
        <v>7</v>
      </c>
      <c r="G30" s="20">
        <v>2</v>
      </c>
      <c r="H30" s="20">
        <v>2</v>
      </c>
      <c r="I30" s="20">
        <v>0</v>
      </c>
      <c r="J30" s="20">
        <v>2</v>
      </c>
      <c r="K30" s="29" t="s">
        <v>127</v>
      </c>
      <c r="L30" s="1" t="s">
        <v>112</v>
      </c>
      <c r="M30" s="1" t="s">
        <v>98</v>
      </c>
      <c r="N30" s="1" t="s">
        <v>127</v>
      </c>
      <c r="O30" s="31">
        <v>18</v>
      </c>
      <c r="P30" s="20">
        <v>22</v>
      </c>
      <c r="Q30" s="30">
        <v>-4</v>
      </c>
      <c r="R30" s="29" t="s">
        <v>109</v>
      </c>
      <c r="S30" s="28" t="s">
        <v>185</v>
      </c>
    </row>
    <row r="31" spans="1:19" x14ac:dyDescent="0.3">
      <c r="A31" s="32" t="s">
        <v>6</v>
      </c>
      <c r="B31" s="1">
        <v>7</v>
      </c>
      <c r="C31" s="1">
        <v>3</v>
      </c>
      <c r="D31" s="1">
        <v>3</v>
      </c>
      <c r="E31" s="20">
        <v>1</v>
      </c>
      <c r="F31" s="30">
        <v>7</v>
      </c>
      <c r="G31" s="20">
        <v>3</v>
      </c>
      <c r="H31" s="20">
        <v>3</v>
      </c>
      <c r="I31" s="20">
        <v>0</v>
      </c>
      <c r="J31" s="20">
        <v>0</v>
      </c>
      <c r="K31" s="29" t="s">
        <v>99</v>
      </c>
      <c r="L31" s="1" t="s">
        <v>134</v>
      </c>
      <c r="M31" s="1" t="s">
        <v>123</v>
      </c>
      <c r="N31" s="1" t="s">
        <v>136</v>
      </c>
      <c r="O31" s="31">
        <v>25</v>
      </c>
      <c r="P31" s="20">
        <v>23</v>
      </c>
      <c r="Q31" s="30">
        <v>2</v>
      </c>
      <c r="R31" s="29" t="s">
        <v>96</v>
      </c>
      <c r="S31" s="28" t="s">
        <v>158</v>
      </c>
    </row>
    <row r="32" spans="1:19" ht="15" thickBot="1" x14ac:dyDescent="0.35">
      <c r="A32" s="32" t="s">
        <v>25</v>
      </c>
      <c r="B32" s="1">
        <v>8</v>
      </c>
      <c r="C32" s="1">
        <v>3</v>
      </c>
      <c r="D32" s="1">
        <v>5</v>
      </c>
      <c r="E32" s="20">
        <v>0</v>
      </c>
      <c r="F32" s="23">
        <v>6</v>
      </c>
      <c r="G32" s="20">
        <v>2</v>
      </c>
      <c r="H32" s="20">
        <v>3</v>
      </c>
      <c r="I32" s="20">
        <v>0</v>
      </c>
      <c r="J32" s="20">
        <v>0</v>
      </c>
      <c r="K32" s="29" t="s">
        <v>114</v>
      </c>
      <c r="L32" s="1" t="s">
        <v>132</v>
      </c>
      <c r="M32" s="1" t="s">
        <v>105</v>
      </c>
      <c r="N32" s="1" t="s">
        <v>115</v>
      </c>
      <c r="O32" s="31">
        <v>21</v>
      </c>
      <c r="P32" s="20">
        <v>32</v>
      </c>
      <c r="Q32" s="30">
        <v>-11</v>
      </c>
      <c r="R32" s="29" t="s">
        <v>103</v>
      </c>
      <c r="S32" s="28" t="s">
        <v>183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2</v>
      </c>
      <c r="B35" s="1">
        <v>9</v>
      </c>
      <c r="C35" s="1">
        <v>7</v>
      </c>
      <c r="D35" s="1">
        <v>2</v>
      </c>
      <c r="E35" s="20">
        <v>0</v>
      </c>
      <c r="F35" s="33">
        <v>14</v>
      </c>
      <c r="G35" s="20">
        <v>5</v>
      </c>
      <c r="H35" s="20">
        <v>6</v>
      </c>
      <c r="I35" s="20">
        <v>1</v>
      </c>
      <c r="J35" s="20">
        <v>0</v>
      </c>
      <c r="K35" s="29" t="s">
        <v>122</v>
      </c>
      <c r="L35" s="1" t="s">
        <v>114</v>
      </c>
      <c r="M35" s="1" t="s">
        <v>122</v>
      </c>
      <c r="N35" s="1" t="s">
        <v>166</v>
      </c>
      <c r="O35" s="31">
        <v>36</v>
      </c>
      <c r="P35" s="20">
        <v>22</v>
      </c>
      <c r="Q35" s="30">
        <v>14</v>
      </c>
      <c r="R35" s="29" t="s">
        <v>103</v>
      </c>
      <c r="S35" s="28" t="s">
        <v>190</v>
      </c>
    </row>
    <row r="36" spans="1:19" x14ac:dyDescent="0.3">
      <c r="A36" s="32" t="s">
        <v>20</v>
      </c>
      <c r="B36" s="1">
        <v>7</v>
      </c>
      <c r="C36" s="1">
        <v>5</v>
      </c>
      <c r="D36" s="1">
        <v>1</v>
      </c>
      <c r="E36" s="20">
        <v>1</v>
      </c>
      <c r="F36" s="30">
        <v>11</v>
      </c>
      <c r="G36" s="20">
        <v>5</v>
      </c>
      <c r="H36" s="20">
        <v>5</v>
      </c>
      <c r="I36" s="20">
        <v>0</v>
      </c>
      <c r="J36" s="20">
        <v>0</v>
      </c>
      <c r="K36" s="29" t="s">
        <v>107</v>
      </c>
      <c r="L36" s="1" t="s">
        <v>149</v>
      </c>
      <c r="M36" s="1" t="s">
        <v>171</v>
      </c>
      <c r="N36" s="1" t="s">
        <v>151</v>
      </c>
      <c r="O36" s="31">
        <v>31</v>
      </c>
      <c r="P36" s="20">
        <v>22</v>
      </c>
      <c r="Q36" s="30">
        <v>9</v>
      </c>
      <c r="R36" s="29" t="s">
        <v>96</v>
      </c>
      <c r="S36" s="28" t="s">
        <v>151</v>
      </c>
    </row>
    <row r="37" spans="1:19" x14ac:dyDescent="0.3">
      <c r="A37" s="32" t="s">
        <v>7</v>
      </c>
      <c r="B37" s="1">
        <v>8</v>
      </c>
      <c r="C37" s="1">
        <v>5</v>
      </c>
      <c r="D37" s="1">
        <v>2</v>
      </c>
      <c r="E37" s="20">
        <v>1</v>
      </c>
      <c r="F37" s="30">
        <v>11</v>
      </c>
      <c r="G37" s="20">
        <v>4</v>
      </c>
      <c r="H37" s="20">
        <v>4</v>
      </c>
      <c r="I37" s="20">
        <v>1</v>
      </c>
      <c r="J37" s="20">
        <v>0</v>
      </c>
      <c r="K37" s="29" t="s">
        <v>98</v>
      </c>
      <c r="L37" s="1" t="s">
        <v>139</v>
      </c>
      <c r="M37" s="1" t="s">
        <v>115</v>
      </c>
      <c r="N37" s="1" t="s">
        <v>115</v>
      </c>
      <c r="O37" s="31">
        <v>32</v>
      </c>
      <c r="P37" s="20">
        <v>23</v>
      </c>
      <c r="Q37" s="30">
        <v>9</v>
      </c>
      <c r="R37" s="29" t="s">
        <v>96</v>
      </c>
      <c r="S37" s="28" t="s">
        <v>184</v>
      </c>
    </row>
    <row r="38" spans="1:19" x14ac:dyDescent="0.3">
      <c r="A38" s="32" t="s">
        <v>31</v>
      </c>
      <c r="B38" s="1">
        <v>6</v>
      </c>
      <c r="C38" s="1">
        <v>4</v>
      </c>
      <c r="D38" s="1">
        <v>2</v>
      </c>
      <c r="E38" s="20">
        <v>0</v>
      </c>
      <c r="F38" s="30">
        <v>8</v>
      </c>
      <c r="G38" s="20">
        <v>3</v>
      </c>
      <c r="H38" s="20">
        <v>4</v>
      </c>
      <c r="I38" s="20">
        <v>0</v>
      </c>
      <c r="J38" s="20">
        <v>0</v>
      </c>
      <c r="K38" s="29" t="s">
        <v>106</v>
      </c>
      <c r="L38" s="1" t="s">
        <v>120</v>
      </c>
      <c r="M38" s="1" t="s">
        <v>115</v>
      </c>
      <c r="N38" s="1" t="s">
        <v>126</v>
      </c>
      <c r="O38" s="31">
        <v>20</v>
      </c>
      <c r="P38" s="20">
        <v>17</v>
      </c>
      <c r="Q38" s="30">
        <v>3</v>
      </c>
      <c r="R38" s="29" t="s">
        <v>96</v>
      </c>
      <c r="S38" s="28" t="s">
        <v>135</v>
      </c>
    </row>
    <row r="39" spans="1:19" x14ac:dyDescent="0.3">
      <c r="A39" s="32" t="s">
        <v>8</v>
      </c>
      <c r="B39" s="1">
        <v>7</v>
      </c>
      <c r="C39" s="1">
        <v>4</v>
      </c>
      <c r="D39" s="1">
        <v>3</v>
      </c>
      <c r="E39" s="20">
        <v>0</v>
      </c>
      <c r="F39" s="30">
        <v>8</v>
      </c>
      <c r="G39" s="20">
        <v>0</v>
      </c>
      <c r="H39" s="20">
        <v>3</v>
      </c>
      <c r="I39" s="20">
        <v>1</v>
      </c>
      <c r="J39" s="20">
        <v>0</v>
      </c>
      <c r="K39" s="29" t="s">
        <v>115</v>
      </c>
      <c r="L39" s="1" t="s">
        <v>105</v>
      </c>
      <c r="M39" s="1" t="s">
        <v>98</v>
      </c>
      <c r="N39" s="1" t="s">
        <v>126</v>
      </c>
      <c r="O39" s="31">
        <v>19</v>
      </c>
      <c r="P39" s="20">
        <v>25</v>
      </c>
      <c r="Q39" s="30">
        <v>-6</v>
      </c>
      <c r="R39" s="29" t="s">
        <v>93</v>
      </c>
      <c r="S39" s="28" t="s">
        <v>173</v>
      </c>
    </row>
    <row r="40" spans="1:19" x14ac:dyDescent="0.3">
      <c r="A40" s="32" t="s">
        <v>3</v>
      </c>
      <c r="B40" s="1">
        <v>9</v>
      </c>
      <c r="C40" s="1">
        <v>2</v>
      </c>
      <c r="D40" s="1">
        <v>6</v>
      </c>
      <c r="E40" s="20">
        <v>1</v>
      </c>
      <c r="F40" s="30">
        <v>5</v>
      </c>
      <c r="G40" s="20">
        <v>1</v>
      </c>
      <c r="H40" s="20">
        <v>2</v>
      </c>
      <c r="I40" s="20">
        <v>0</v>
      </c>
      <c r="J40" s="20">
        <v>0</v>
      </c>
      <c r="K40" s="29" t="s">
        <v>106</v>
      </c>
      <c r="L40" s="1" t="s">
        <v>188</v>
      </c>
      <c r="M40" s="1" t="s">
        <v>115</v>
      </c>
      <c r="N40" s="1" t="s">
        <v>115</v>
      </c>
      <c r="O40" s="31">
        <v>28</v>
      </c>
      <c r="P40" s="20">
        <v>41</v>
      </c>
      <c r="Q40" s="30">
        <v>-13</v>
      </c>
      <c r="R40" s="29" t="s">
        <v>142</v>
      </c>
      <c r="S40" s="28" t="s">
        <v>189</v>
      </c>
    </row>
    <row r="41" spans="1:19" x14ac:dyDescent="0.3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1</v>
      </c>
      <c r="H41" s="20">
        <v>1</v>
      </c>
      <c r="I41" s="20">
        <v>0</v>
      </c>
      <c r="J41" s="20">
        <v>0</v>
      </c>
      <c r="K41" s="29" t="s">
        <v>110</v>
      </c>
      <c r="L41" s="1" t="s">
        <v>123</v>
      </c>
      <c r="M41" s="1" t="s">
        <v>143</v>
      </c>
      <c r="N41" s="1" t="s">
        <v>187</v>
      </c>
      <c r="O41" s="31">
        <v>14</v>
      </c>
      <c r="P41" s="20">
        <v>35</v>
      </c>
      <c r="Q41" s="30">
        <v>-21</v>
      </c>
      <c r="R41" s="29" t="s">
        <v>96</v>
      </c>
      <c r="S41" s="28" t="s">
        <v>187</v>
      </c>
    </row>
    <row r="42" spans="1:19" ht="15" thickBot="1" x14ac:dyDescent="0.35">
      <c r="A42" s="27" t="s">
        <v>18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102</v>
      </c>
      <c r="L42" s="26" t="s">
        <v>108</v>
      </c>
      <c r="M42" s="26" t="s">
        <v>108</v>
      </c>
      <c r="N42" s="26" t="s">
        <v>116</v>
      </c>
      <c r="O42" s="25">
        <v>11</v>
      </c>
      <c r="P42" s="24">
        <v>21</v>
      </c>
      <c r="Q42" s="23">
        <v>-10</v>
      </c>
      <c r="R42" s="22" t="s">
        <v>131</v>
      </c>
      <c r="S42" s="21" t="s">
        <v>130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437228-F943-470E-BB90-FC74AA58C364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activeCell="A25" sqref="A25:S32"/>
    </sheetView>
  </sheetViews>
  <sheetFormatPr defaultColWidth="9.109375" defaultRowHeight="14.4" x14ac:dyDescent="0.3"/>
  <cols>
    <col min="1" max="1" width="25.6640625" style="1" customWidth="1"/>
    <col min="2" max="4" width="9.109375" style="1"/>
    <col min="5" max="10" width="9.109375" style="20"/>
    <col min="11" max="13" width="9.109375" style="1"/>
    <col min="14" max="14" width="13.44140625" style="1" customWidth="1"/>
    <col min="15" max="15" width="9.109375" style="19"/>
    <col min="16" max="16" width="10" style="19" customWidth="1"/>
    <col min="17" max="17" width="9.109375" style="19"/>
    <col min="18" max="16384" width="9.109375" style="1"/>
  </cols>
  <sheetData>
    <row r="1" spans="1:20" ht="24.6" thickTop="1" thickBot="1" x14ac:dyDescent="0.5">
      <c r="A1" s="46" t="s">
        <v>43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19.2" thickTop="1" thickBot="1" x14ac:dyDescent="0.4">
      <c r="A2" s="49" t="s">
        <v>70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5.6" thickTop="1" thickBot="1" x14ac:dyDescent="0.35">
      <c r="A3" s="7" t="s">
        <v>33</v>
      </c>
      <c r="B3" s="7" t="s">
        <v>65</v>
      </c>
      <c r="C3" s="7" t="s">
        <v>64</v>
      </c>
      <c r="D3" s="7" t="s">
        <v>63</v>
      </c>
      <c r="E3" s="35" t="s">
        <v>62</v>
      </c>
      <c r="F3" s="35" t="s">
        <v>61</v>
      </c>
      <c r="G3" s="35" t="s">
        <v>51</v>
      </c>
      <c r="H3" s="35" t="s">
        <v>49</v>
      </c>
      <c r="I3" s="35" t="s">
        <v>47</v>
      </c>
      <c r="J3" s="35" t="s">
        <v>45</v>
      </c>
      <c r="K3" s="7" t="s">
        <v>60</v>
      </c>
      <c r="L3" s="7" t="s">
        <v>59</v>
      </c>
      <c r="M3" s="7" t="s">
        <v>58</v>
      </c>
      <c r="N3" s="7" t="s">
        <v>57</v>
      </c>
      <c r="O3" s="34" t="s">
        <v>56</v>
      </c>
      <c r="P3" s="34" t="s">
        <v>55</v>
      </c>
      <c r="Q3" s="34" t="s">
        <v>54</v>
      </c>
      <c r="R3" s="7" t="s">
        <v>53</v>
      </c>
      <c r="S3" s="7" t="s">
        <v>52</v>
      </c>
    </row>
    <row r="4" spans="1:20" ht="15" thickTop="1" x14ac:dyDescent="0.3">
      <c r="A4" s="41" t="s">
        <v>29</v>
      </c>
      <c r="B4" s="40">
        <f>Boston_Bruins!$D$88</f>
        <v>8</v>
      </c>
      <c r="C4" s="40">
        <f>Boston_Bruins!$I$86</f>
        <v>6</v>
      </c>
      <c r="D4" s="40">
        <f>Boston_Bruins!$J$86</f>
        <v>2</v>
      </c>
      <c r="E4" s="38">
        <f>Boston_Bruins!$L$86</f>
        <v>0</v>
      </c>
      <c r="F4" s="33">
        <f t="shared" ref="F4:F11" si="0">(C4*2)+E4</f>
        <v>12</v>
      </c>
      <c r="G4" s="39">
        <f>C4-Boston_Bruins!$K$86</f>
        <v>5</v>
      </c>
      <c r="H4" s="38">
        <f t="shared" ref="H4:H11" si="1">C4-I4</f>
        <v>6</v>
      </c>
      <c r="I4" s="38">
        <f>Boston_Bruins!$M$86</f>
        <v>0</v>
      </c>
      <c r="J4" s="33">
        <f>Boston_Bruins!$N$86</f>
        <v>0</v>
      </c>
      <c r="K4" s="37" t="str">
        <f>Boston_Bruins!$O$87</f>
        <v>3-1-0</v>
      </c>
      <c r="L4" s="40" t="str">
        <f>Boston_Bruins!$R$87</f>
        <v>3-1-0</v>
      </c>
      <c r="M4" s="40" t="str">
        <f>Boston_Bruins!$U$87</f>
        <v>0-1-0</v>
      </c>
      <c r="N4" s="40" t="str">
        <f>Boston_Bruins!$X$87</f>
        <v>2-1-0</v>
      </c>
      <c r="O4" s="39">
        <f>Boston_Bruins!$E$87</f>
        <v>30</v>
      </c>
      <c r="P4" s="38">
        <f>Boston_Bruins!$F$87</f>
        <v>18</v>
      </c>
      <c r="Q4" s="33">
        <f t="shared" ref="Q4:Q11" si="2">O4-P4</f>
        <v>12</v>
      </c>
      <c r="R4" s="37" t="str">
        <f>Boston_Bruins!$AA$87</f>
        <v>W4</v>
      </c>
      <c r="S4" s="36" t="str">
        <f>Boston_Bruins!$AD$87</f>
        <v>6-2-0</v>
      </c>
    </row>
    <row r="5" spans="1:20" x14ac:dyDescent="0.3">
      <c r="A5" s="32" t="s">
        <v>28</v>
      </c>
      <c r="B5" s="1">
        <f>Buffalo_Sabres!$D$88</f>
        <v>8</v>
      </c>
      <c r="C5" s="1">
        <f>Buffalo_Sabres!$I$86</f>
        <v>4</v>
      </c>
      <c r="D5" s="1">
        <f>Buffalo_Sabres!$J$86</f>
        <v>3</v>
      </c>
      <c r="E5" s="20">
        <f>Buffalo_Sabres!$L$86</f>
        <v>1</v>
      </c>
      <c r="F5" s="30">
        <f t="shared" si="0"/>
        <v>9</v>
      </c>
      <c r="G5" s="31">
        <f>C5-Buffalo_Sabres!$K$86</f>
        <v>2</v>
      </c>
      <c r="H5" s="20">
        <f t="shared" si="1"/>
        <v>4</v>
      </c>
      <c r="I5" s="20">
        <f>Buffalo_Sabres!$M$86</f>
        <v>0</v>
      </c>
      <c r="J5" s="30">
        <f>Buffalo_Sabres!$N$86</f>
        <v>1</v>
      </c>
      <c r="K5" s="29" t="str">
        <f>Buffalo_Sabres!$O$87</f>
        <v>3-2-0</v>
      </c>
      <c r="L5" s="1" t="str">
        <f>Buffalo_Sabres!$R$87</f>
        <v>1-1-1</v>
      </c>
      <c r="M5" s="1" t="str">
        <f>Buffalo_Sabres!$U$87</f>
        <v>2-0-1</v>
      </c>
      <c r="N5" s="1" t="str">
        <f>Buffalo_Sabres!$X$87</f>
        <v>2-1-1</v>
      </c>
      <c r="O5" s="31">
        <f>Buffalo_Sabres!$E$87</f>
        <v>24</v>
      </c>
      <c r="P5" s="20">
        <f>Buffalo_Sabres!$F$87</f>
        <v>30</v>
      </c>
      <c r="Q5" s="30">
        <f t="shared" si="2"/>
        <v>-6</v>
      </c>
      <c r="R5" s="29" t="str">
        <f>Buffalo_Sabres!$AA$87</f>
        <v>W1</v>
      </c>
      <c r="S5" s="28" t="str">
        <f>Buffalo_Sabres!$AD$87</f>
        <v>4-3-1</v>
      </c>
    </row>
    <row r="6" spans="1:20" x14ac:dyDescent="0.3">
      <c r="A6" s="32" t="s">
        <v>21</v>
      </c>
      <c r="B6" s="1">
        <f>Detroit_Red_Wings!$D$88</f>
        <v>7</v>
      </c>
      <c r="C6" s="1">
        <f>Detroit_Red_Wings!$I$86</f>
        <v>2</v>
      </c>
      <c r="D6" s="1">
        <f>Detroit_Red_Wings!$J$86</f>
        <v>3</v>
      </c>
      <c r="E6" s="20">
        <f>Detroit_Red_Wings!$L$86</f>
        <v>2</v>
      </c>
      <c r="F6" s="30">
        <f t="shared" si="0"/>
        <v>6</v>
      </c>
      <c r="G6" s="31">
        <f>C6-Detroit_Red_Wings!$K$86</f>
        <v>2</v>
      </c>
      <c r="H6" s="20">
        <f t="shared" si="1"/>
        <v>2</v>
      </c>
      <c r="I6" s="20">
        <f>Detroit_Red_Wings!$M$86</f>
        <v>0</v>
      </c>
      <c r="J6" s="30">
        <f>Detroit_Red_Wings!$N$86</f>
        <v>1</v>
      </c>
      <c r="K6" s="29" t="str">
        <f>Detroit_Red_Wings!$O$87</f>
        <v>2-3-1</v>
      </c>
      <c r="L6" s="1" t="str">
        <f>Detroit_Red_Wings!$R$87</f>
        <v>0-0-1</v>
      </c>
      <c r="M6" s="1" t="str">
        <f>Detroit_Red_Wings!$U$87</f>
        <v>1-0-1</v>
      </c>
      <c r="N6" s="1" t="str">
        <f>Detroit_Red_Wings!$X$87</f>
        <v>2-1-2</v>
      </c>
      <c r="O6" s="31">
        <f>Detroit_Red_Wings!$E$87</f>
        <v>16</v>
      </c>
      <c r="P6" s="20">
        <f>Detroit_Red_Wings!$F$87</f>
        <v>21</v>
      </c>
      <c r="Q6" s="30">
        <f t="shared" si="2"/>
        <v>-5</v>
      </c>
      <c r="R6" s="29" t="str">
        <f>Detroit_Red_Wings!$AA$87</f>
        <v>W1</v>
      </c>
      <c r="S6" s="28" t="str">
        <f>Detroit_Red_Wings!$AD$87</f>
        <v>2-3-2</v>
      </c>
    </row>
    <row r="7" spans="1:20" x14ac:dyDescent="0.3">
      <c r="A7" s="32" t="s">
        <v>19</v>
      </c>
      <c r="B7" s="1">
        <f>Florida_Panthers!$D$88</f>
        <v>8</v>
      </c>
      <c r="C7" s="1">
        <f>Florida_Panthers!$I$86</f>
        <v>4</v>
      </c>
      <c r="D7" s="1">
        <f>Florida_Panthers!$J$86</f>
        <v>2</v>
      </c>
      <c r="E7" s="20">
        <f>Florida_Panthers!$L$86</f>
        <v>2</v>
      </c>
      <c r="F7" s="30">
        <f t="shared" si="0"/>
        <v>10</v>
      </c>
      <c r="G7" s="31">
        <f>C7-Florida_Panthers!$K$86</f>
        <v>2</v>
      </c>
      <c r="H7" s="20">
        <f t="shared" si="1"/>
        <v>4</v>
      </c>
      <c r="I7" s="20">
        <f>Florida_Panthers!$M$86</f>
        <v>0</v>
      </c>
      <c r="J7" s="30">
        <f>Florida_Panthers!$N$86</f>
        <v>0</v>
      </c>
      <c r="K7" s="29" t="str">
        <f>Florida_Panthers!$O$87</f>
        <v>1-1-0</v>
      </c>
      <c r="L7" s="1" t="str">
        <f>Florida_Panthers!$R$87</f>
        <v>3-1-2</v>
      </c>
      <c r="M7" s="1" t="str">
        <f>Florida_Panthers!$U$87</f>
        <v>0-1-0</v>
      </c>
      <c r="N7" s="1" t="str">
        <f>Florida_Panthers!$X$87</f>
        <v>2-1-0</v>
      </c>
      <c r="O7" s="31">
        <f>Florida_Panthers!$E$87</f>
        <v>22</v>
      </c>
      <c r="P7" s="20">
        <f>Florida_Panthers!$F$87</f>
        <v>22</v>
      </c>
      <c r="Q7" s="30">
        <f t="shared" si="2"/>
        <v>0</v>
      </c>
      <c r="R7" s="29" t="str">
        <f>Florida_Panthers!$AA$87</f>
        <v>W2</v>
      </c>
      <c r="S7" s="28" t="str">
        <f>Florida_Panthers!$AD$87</f>
        <v>4-2-2</v>
      </c>
    </row>
    <row r="8" spans="1:20" x14ac:dyDescent="0.3">
      <c r="A8" s="32" t="s">
        <v>16</v>
      </c>
      <c r="B8" s="1">
        <f>Montreal_Canadiens!$D$88</f>
        <v>7</v>
      </c>
      <c r="C8" s="1">
        <f>Montreal_Canadiens!$I$86</f>
        <v>3</v>
      </c>
      <c r="D8" s="1">
        <f>Montreal_Canadiens!$J$86</f>
        <v>3</v>
      </c>
      <c r="E8" s="20">
        <f>Montreal_Canadiens!$L$86</f>
        <v>1</v>
      </c>
      <c r="F8" s="30">
        <f t="shared" si="0"/>
        <v>7</v>
      </c>
      <c r="G8" s="31">
        <f>C8-Montreal_Canadiens!$K$86</f>
        <v>1</v>
      </c>
      <c r="H8" s="20">
        <f t="shared" si="1"/>
        <v>1</v>
      </c>
      <c r="I8" s="20">
        <f>Montreal_Canadiens!$M$86</f>
        <v>2</v>
      </c>
      <c r="J8" s="30">
        <f>Montreal_Canadiens!$N$86</f>
        <v>0</v>
      </c>
      <c r="K8" s="29" t="str">
        <f>Montreal_Canadiens!$O$87</f>
        <v>2-2-0</v>
      </c>
      <c r="L8" s="1" t="str">
        <f>Montreal_Canadiens!$R$87</f>
        <v>1-1-1</v>
      </c>
      <c r="M8" s="1" t="str">
        <f>Montreal_Canadiens!$U$87</f>
        <v>3-0-0</v>
      </c>
      <c r="N8" s="1" t="str">
        <f>Montreal_Canadiens!$X$87</f>
        <v>3-2-1</v>
      </c>
      <c r="O8" s="31">
        <f>Montreal_Canadiens!$E$87</f>
        <v>23</v>
      </c>
      <c r="P8" s="20">
        <f>Montreal_Canadiens!$F$87</f>
        <v>27</v>
      </c>
      <c r="Q8" s="30">
        <f t="shared" si="2"/>
        <v>-4</v>
      </c>
      <c r="R8" s="29" t="str">
        <f>Montreal_Canadiens!$AA$87</f>
        <v>L1</v>
      </c>
      <c r="S8" s="28" t="str">
        <f>Montreal_Canadiens!$AD$87</f>
        <v>3-3-1</v>
      </c>
    </row>
    <row r="9" spans="1:20" x14ac:dyDescent="0.3">
      <c r="A9" s="32" t="s">
        <v>11</v>
      </c>
      <c r="B9" s="1">
        <f>Ottawa_Senators!$D$88</f>
        <v>8</v>
      </c>
      <c r="C9" s="1">
        <f>Ottawa_Senators!$I$86</f>
        <v>6</v>
      </c>
      <c r="D9" s="1">
        <f>Ottawa_Senators!$J$86</f>
        <v>2</v>
      </c>
      <c r="E9" s="20">
        <f>Ottawa_Senators!$L$86</f>
        <v>0</v>
      </c>
      <c r="F9" s="30">
        <f t="shared" si="0"/>
        <v>12</v>
      </c>
      <c r="G9" s="31">
        <f>C9-Ottawa_Senators!$K$86</f>
        <v>4</v>
      </c>
      <c r="H9" s="20">
        <f t="shared" si="1"/>
        <v>4</v>
      </c>
      <c r="I9" s="20">
        <f>Ottawa_Senators!$M$86</f>
        <v>2</v>
      </c>
      <c r="J9" s="30">
        <f>Ottawa_Senators!$N$86</f>
        <v>0</v>
      </c>
      <c r="K9" s="29" t="str">
        <f>Ottawa_Senators!$O$87</f>
        <v>3-1-0</v>
      </c>
      <c r="L9" s="1" t="str">
        <f>Ottawa_Senators!$R$87</f>
        <v>3-1-0</v>
      </c>
      <c r="M9" s="1" t="str">
        <f>Ottawa_Senators!$U$87</f>
        <v>2-1-0</v>
      </c>
      <c r="N9" s="1" t="str">
        <f>Ottawa_Senators!$X$87</f>
        <v>5-1-0</v>
      </c>
      <c r="O9" s="31">
        <f>Ottawa_Senators!$E$87</f>
        <v>23</v>
      </c>
      <c r="P9" s="20">
        <f>Ottawa_Senators!$F$87</f>
        <v>20</v>
      </c>
      <c r="Q9" s="30">
        <f t="shared" si="2"/>
        <v>3</v>
      </c>
      <c r="R9" s="29" t="str">
        <f>Ottawa_Senators!$AA$87</f>
        <v>W1</v>
      </c>
      <c r="S9" s="28" t="str">
        <f>Ottawa_Senators!$AD$87</f>
        <v>6-2-0</v>
      </c>
    </row>
    <row r="10" spans="1:20" x14ac:dyDescent="0.3">
      <c r="A10" s="32" t="s">
        <v>5</v>
      </c>
      <c r="B10" s="1">
        <f>Tampa_Bay_Lightning!$D$88</f>
        <v>7</v>
      </c>
      <c r="C10" s="1">
        <f>Tampa_Bay_Lightning!$I$86</f>
        <v>5</v>
      </c>
      <c r="D10" s="1">
        <f>Tampa_Bay_Lightning!$J$86</f>
        <v>2</v>
      </c>
      <c r="E10" s="20">
        <f>Tampa_Bay_Lightning!$L$86</f>
        <v>0</v>
      </c>
      <c r="F10" s="30">
        <f t="shared" si="0"/>
        <v>10</v>
      </c>
      <c r="G10" s="31">
        <f>C10-Tampa_Bay_Lightning!$K$86</f>
        <v>4</v>
      </c>
      <c r="H10" s="20">
        <f t="shared" si="1"/>
        <v>5</v>
      </c>
      <c r="I10" s="20">
        <f>Tampa_Bay_Lightning!$M$86</f>
        <v>0</v>
      </c>
      <c r="J10" s="30">
        <f>Tampa_Bay_Lightning!$N$86</f>
        <v>0</v>
      </c>
      <c r="K10" s="29" t="str">
        <f>Tampa_Bay_Lightning!$O$87</f>
        <v>4-0-0</v>
      </c>
      <c r="L10" s="1" t="str">
        <f>Tampa_Bay_Lightning!$R$87</f>
        <v>1-2-0</v>
      </c>
      <c r="M10" s="1" t="str">
        <f>Tampa_Bay_Lightning!$U$87</f>
        <v>0-0-0</v>
      </c>
      <c r="N10" s="1" t="str">
        <f>Tampa_Bay_Lightning!$X$87</f>
        <v>3-2-0</v>
      </c>
      <c r="O10" s="31">
        <f>Tampa_Bay_Lightning!$E$87</f>
        <v>21</v>
      </c>
      <c r="P10" s="20">
        <f>Tampa_Bay_Lightning!$F$87</f>
        <v>19</v>
      </c>
      <c r="Q10" s="30">
        <f t="shared" si="2"/>
        <v>2</v>
      </c>
      <c r="R10" s="29" t="str">
        <f>Tampa_Bay_Lightning!$AA$87</f>
        <v>W1</v>
      </c>
      <c r="S10" s="28" t="str">
        <f>Tampa_Bay_Lightning!$AD$87</f>
        <v>5-2-0</v>
      </c>
    </row>
    <row r="11" spans="1:20" ht="15" thickBot="1" x14ac:dyDescent="0.35">
      <c r="A11" s="32" t="s">
        <v>4</v>
      </c>
      <c r="B11" s="1">
        <f>Toronto_Maple_Leafs!$D$88</f>
        <v>8</v>
      </c>
      <c r="C11" s="1">
        <f>Toronto_Maple_Leafs!$I$86</f>
        <v>3</v>
      </c>
      <c r="D11" s="1">
        <f>Toronto_Maple_Leafs!$J$86</f>
        <v>3</v>
      </c>
      <c r="E11" s="24">
        <f>Toronto_Maple_Leafs!$L$86</f>
        <v>2</v>
      </c>
      <c r="F11" s="23">
        <f t="shared" si="0"/>
        <v>8</v>
      </c>
      <c r="G11" s="25">
        <f>C11-Toronto_Maple_Leafs!$K$86</f>
        <v>2</v>
      </c>
      <c r="H11" s="24">
        <f t="shared" si="1"/>
        <v>3</v>
      </c>
      <c r="I11" s="24">
        <f>Toronto_Maple_Leafs!$M$86</f>
        <v>0</v>
      </c>
      <c r="J11" s="23">
        <f>Toronto_Maple_Leafs!$N$86</f>
        <v>1</v>
      </c>
      <c r="K11" s="29" t="str">
        <f>Toronto_Maple_Leafs!$O$87</f>
        <v>2-2-1</v>
      </c>
      <c r="L11" s="1" t="str">
        <f>Toronto_Maple_Leafs!$R$87</f>
        <v>1-1-1</v>
      </c>
      <c r="M11" s="1" t="str">
        <f>Toronto_Maple_Leafs!$U$87</f>
        <v>0-2-1</v>
      </c>
      <c r="N11" s="1" t="str">
        <f>Toronto_Maple_Leafs!$X$87</f>
        <v>1-2-1</v>
      </c>
      <c r="O11" s="31">
        <f>Toronto_Maple_Leafs!$E$87</f>
        <v>28</v>
      </c>
      <c r="P11" s="20">
        <f>Toronto_Maple_Leafs!$F$87</f>
        <v>28</v>
      </c>
      <c r="Q11" s="30">
        <f t="shared" si="2"/>
        <v>0</v>
      </c>
      <c r="R11" s="29" t="str">
        <f>Toronto_Maple_Leafs!$AA$87</f>
        <v>L2</v>
      </c>
      <c r="S11" s="28" t="str">
        <f>Toronto_Maple_Leafs!$AD$87</f>
        <v>3-3-2</v>
      </c>
    </row>
    <row r="12" spans="1:20" ht="19.2" thickTop="1" thickBot="1" x14ac:dyDescent="0.4">
      <c r="A12" s="49" t="s">
        <v>69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5.6" thickTop="1" thickBot="1" x14ac:dyDescent="0.35">
      <c r="A13" s="7" t="s">
        <v>33</v>
      </c>
      <c r="B13" s="7" t="s">
        <v>65</v>
      </c>
      <c r="C13" s="7" t="s">
        <v>64</v>
      </c>
      <c r="D13" s="7" t="s">
        <v>63</v>
      </c>
      <c r="E13" s="35" t="s">
        <v>62</v>
      </c>
      <c r="F13" s="35" t="s">
        <v>61</v>
      </c>
      <c r="G13" s="35" t="s">
        <v>51</v>
      </c>
      <c r="H13" s="35" t="s">
        <v>49</v>
      </c>
      <c r="I13" s="35" t="s">
        <v>47</v>
      </c>
      <c r="J13" s="35" t="s">
        <v>45</v>
      </c>
      <c r="K13" s="7" t="s">
        <v>60</v>
      </c>
      <c r="L13" s="7" t="s">
        <v>59</v>
      </c>
      <c r="M13" s="7" t="s">
        <v>58</v>
      </c>
      <c r="N13" s="7" t="s">
        <v>57</v>
      </c>
      <c r="O13" s="34" t="s">
        <v>56</v>
      </c>
      <c r="P13" s="34" t="s">
        <v>55</v>
      </c>
      <c r="Q13" s="34" t="s">
        <v>54</v>
      </c>
      <c r="R13" s="7" t="s">
        <v>53</v>
      </c>
      <c r="S13" s="7" t="s">
        <v>52</v>
      </c>
    </row>
    <row r="14" spans="1:20" ht="15" thickTop="1" x14ac:dyDescent="0.3">
      <c r="A14" s="32" t="s">
        <v>26</v>
      </c>
      <c r="B14" s="1">
        <f>Carolina_Hurricanes!$D$88</f>
        <v>8</v>
      </c>
      <c r="C14" s="1">
        <f>Carolina_Hurricanes!$I$86</f>
        <v>6</v>
      </c>
      <c r="D14" s="1">
        <f>Carolina_Hurricanes!$J$86</f>
        <v>1</v>
      </c>
      <c r="E14" s="20">
        <f>Carolina_Hurricanes!$L$86</f>
        <v>1</v>
      </c>
      <c r="F14" s="33">
        <f t="shared" ref="F14:F21" si="3">(C14*2)+E14</f>
        <v>13</v>
      </c>
      <c r="G14" s="20">
        <f>C14-Carolina_Hurricanes!$K$86</f>
        <v>5</v>
      </c>
      <c r="H14" s="20">
        <f t="shared" ref="H14:H21" si="4">C14-I14</f>
        <v>6</v>
      </c>
      <c r="I14" s="20">
        <f>Carolina_Hurricanes!$M$86</f>
        <v>0</v>
      </c>
      <c r="J14" s="20">
        <f>Carolina_Hurricanes!$N$86</f>
        <v>0</v>
      </c>
      <c r="K14" s="29" t="str">
        <f>Carolina_Hurricanes!$O$87</f>
        <v>2-1-1</v>
      </c>
      <c r="L14" s="1" t="str">
        <f>Carolina_Hurricanes!$R$87</f>
        <v>4-0-0</v>
      </c>
      <c r="M14" s="1" t="str">
        <f>Carolina_Hurricanes!$U$87</f>
        <v>3-1-0</v>
      </c>
      <c r="N14" s="1" t="str">
        <f>Carolina_Hurricanes!$X$87</f>
        <v>4-1-1</v>
      </c>
      <c r="O14" s="31">
        <f>Carolina_Hurricanes!$E$87</f>
        <v>31</v>
      </c>
      <c r="P14" s="20">
        <f>Carolina_Hurricanes!$F$87</f>
        <v>19</v>
      </c>
      <c r="Q14" s="30">
        <f t="shared" ref="Q14:Q21" si="5">O14-P14</f>
        <v>12</v>
      </c>
      <c r="R14" s="29" t="str">
        <f>Carolina_Hurricanes!$AA$87</f>
        <v>W6</v>
      </c>
      <c r="S14" s="28" t="str">
        <f>Carolina_Hurricanes!$AD$87</f>
        <v>6-1-1</v>
      </c>
    </row>
    <row r="15" spans="1:20" x14ac:dyDescent="0.3">
      <c r="A15" s="32" t="s">
        <v>23</v>
      </c>
      <c r="B15" s="1">
        <f>Columbus_Blue_Jackets!$D$88</f>
        <v>5</v>
      </c>
      <c r="C15" s="1">
        <f>Columbus_Blue_Jackets!$I$86</f>
        <v>2</v>
      </c>
      <c r="D15" s="1">
        <f>Columbus_Blue_Jackets!$J$86</f>
        <v>3</v>
      </c>
      <c r="E15" s="20">
        <f>Columbus_Blue_Jackets!$L$86</f>
        <v>0</v>
      </c>
      <c r="F15" s="30">
        <f t="shared" si="3"/>
        <v>4</v>
      </c>
      <c r="G15" s="20">
        <f>C15-Columbus_Blue_Jackets!$K$86</f>
        <v>1</v>
      </c>
      <c r="H15" s="20">
        <f t="shared" si="4"/>
        <v>1</v>
      </c>
      <c r="I15" s="20">
        <f>Columbus_Blue_Jackets!$M$86</f>
        <v>1</v>
      </c>
      <c r="J15" s="20">
        <f>Columbus_Blue_Jackets!$N$86</f>
        <v>0</v>
      </c>
      <c r="K15" s="29" t="str">
        <f>Columbus_Blue_Jackets!$O$87</f>
        <v>2-2-0</v>
      </c>
      <c r="L15" s="1" t="str">
        <f>Columbus_Blue_Jackets!$R$87</f>
        <v>0-1-0</v>
      </c>
      <c r="M15" s="1" t="str">
        <f>Columbus_Blue_Jackets!$U$87</f>
        <v>1-0-0</v>
      </c>
      <c r="N15" s="1" t="str">
        <f>Columbus_Blue_Jackets!$X$87</f>
        <v>2-1-0</v>
      </c>
      <c r="O15" s="31">
        <f>Columbus_Blue_Jackets!$E$87</f>
        <v>16</v>
      </c>
      <c r="P15" s="20">
        <f>Columbus_Blue_Jackets!$F$87</f>
        <v>21</v>
      </c>
      <c r="Q15" s="30">
        <f t="shared" si="5"/>
        <v>-5</v>
      </c>
      <c r="R15" s="29" t="str">
        <f>Columbus_Blue_Jackets!$AA$87</f>
        <v>L2</v>
      </c>
      <c r="S15" s="28" t="str">
        <f>Columbus_Blue_Jackets!$AD$87</f>
        <v>2-3-0</v>
      </c>
    </row>
    <row r="16" spans="1:20" x14ac:dyDescent="0.3">
      <c r="A16" s="32" t="s">
        <v>14</v>
      </c>
      <c r="B16" s="1">
        <f>New_Jersey_Devils!$D$88</f>
        <v>7</v>
      </c>
      <c r="C16" s="1">
        <f>New_Jersey_Devils!$I$86</f>
        <v>4</v>
      </c>
      <c r="D16" s="1">
        <f>New_Jersey_Devils!$J$86</f>
        <v>3</v>
      </c>
      <c r="E16" s="20">
        <f>New_Jersey_Devils!$L$86</f>
        <v>0</v>
      </c>
      <c r="F16" s="30">
        <f t="shared" si="3"/>
        <v>8</v>
      </c>
      <c r="G16" s="20">
        <f>C16-New_Jersey_Devils!$K$86</f>
        <v>2</v>
      </c>
      <c r="H16" s="20">
        <f t="shared" si="4"/>
        <v>4</v>
      </c>
      <c r="I16" s="20">
        <f>New_Jersey_Devils!$M$86</f>
        <v>0</v>
      </c>
      <c r="J16" s="20">
        <f>New_Jersey_Devils!$N$86</f>
        <v>0</v>
      </c>
      <c r="K16" s="29" t="str">
        <f>New_Jersey_Devils!$O$87</f>
        <v>3-2-0</v>
      </c>
      <c r="L16" s="1" t="str">
        <f>New_Jersey_Devils!$R$87</f>
        <v>1-1-0</v>
      </c>
      <c r="M16" s="1" t="str">
        <f>New_Jersey_Devils!$U$87</f>
        <v>2-1-0</v>
      </c>
      <c r="N16" s="1" t="str">
        <f>New_Jersey_Devils!$X$87</f>
        <v>3-2-0</v>
      </c>
      <c r="O16" s="31">
        <f>New_Jersey_Devils!$E$87</f>
        <v>23</v>
      </c>
      <c r="P16" s="20">
        <f>New_Jersey_Devils!$F$87</f>
        <v>23</v>
      </c>
      <c r="Q16" s="30">
        <f t="shared" si="5"/>
        <v>0</v>
      </c>
      <c r="R16" s="29" t="str">
        <f>New_Jersey_Devils!$AA$87</f>
        <v>W2</v>
      </c>
      <c r="S16" s="28" t="str">
        <f>New_Jersey_Devils!$AD$87</f>
        <v>4-3-0</v>
      </c>
    </row>
    <row r="17" spans="1:19" x14ac:dyDescent="0.3">
      <c r="A17" s="32" t="s">
        <v>13</v>
      </c>
      <c r="B17" s="1">
        <f>New_York_Islanders!$D$88</f>
        <v>7</v>
      </c>
      <c r="C17" s="1">
        <f>New_York_Islanders!$I$86</f>
        <v>3</v>
      </c>
      <c r="D17" s="1">
        <f>New_York_Islanders!$J$86</f>
        <v>3</v>
      </c>
      <c r="E17" s="20">
        <f>New_York_Islanders!$L$86</f>
        <v>1</v>
      </c>
      <c r="F17" s="30">
        <f t="shared" si="3"/>
        <v>7</v>
      </c>
      <c r="G17" s="20">
        <f>C17-New_York_Islanders!$K$86</f>
        <v>3</v>
      </c>
      <c r="H17" s="20">
        <f t="shared" si="4"/>
        <v>3</v>
      </c>
      <c r="I17" s="20">
        <f>New_York_Islanders!$M$86</f>
        <v>0</v>
      </c>
      <c r="J17" s="20">
        <f>New_York_Islanders!$N$86</f>
        <v>1</v>
      </c>
      <c r="K17" s="29" t="str">
        <f>New_York_Islanders!$O$87</f>
        <v>3-1-0</v>
      </c>
      <c r="L17" s="1" t="str">
        <f>New_York_Islanders!$R$87</f>
        <v>0-2-1</v>
      </c>
      <c r="M17" s="1" t="str">
        <f>New_York_Islanders!$U$87</f>
        <v>1-1-0</v>
      </c>
      <c r="N17" s="1" t="str">
        <f>New_York_Islanders!$X$87</f>
        <v>1-3-1</v>
      </c>
      <c r="O17" s="31">
        <f>New_York_Islanders!$E$87</f>
        <v>20</v>
      </c>
      <c r="P17" s="20">
        <f>New_York_Islanders!$F$87</f>
        <v>17</v>
      </c>
      <c r="Q17" s="30">
        <f t="shared" si="5"/>
        <v>3</v>
      </c>
      <c r="R17" s="29" t="str">
        <f>New_York_Islanders!$AA$87</f>
        <v>L1</v>
      </c>
      <c r="S17" s="28" t="str">
        <f>New_York_Islanders!$AD$87</f>
        <v>3-3-1</v>
      </c>
    </row>
    <row r="18" spans="1:19" x14ac:dyDescent="0.3">
      <c r="A18" s="32" t="s">
        <v>12</v>
      </c>
      <c r="B18" s="1">
        <f>New_York_Rangers!$D$88</f>
        <v>9</v>
      </c>
      <c r="C18" s="1">
        <f>New_York_Rangers!$I$86</f>
        <v>6</v>
      </c>
      <c r="D18" s="1">
        <f>New_York_Rangers!$J$86</f>
        <v>3</v>
      </c>
      <c r="E18" s="20">
        <f>New_York_Rangers!$L$86</f>
        <v>0</v>
      </c>
      <c r="F18" s="30">
        <f t="shared" si="3"/>
        <v>12</v>
      </c>
      <c r="G18" s="20">
        <f>C18-New_York_Rangers!$K$86</f>
        <v>6</v>
      </c>
      <c r="H18" s="20">
        <f t="shared" si="4"/>
        <v>6</v>
      </c>
      <c r="I18" s="20">
        <f>New_York_Rangers!$M$86</f>
        <v>0</v>
      </c>
      <c r="J18" s="20">
        <f>New_York_Rangers!$N$86</f>
        <v>0</v>
      </c>
      <c r="K18" s="29" t="str">
        <f>New_York_Rangers!$O$87</f>
        <v>5-0-0</v>
      </c>
      <c r="L18" s="1" t="str">
        <f>New_York_Rangers!$R$87</f>
        <v>1-3-0</v>
      </c>
      <c r="M18" s="1" t="str">
        <f>New_York_Rangers!$U$87</f>
        <v>1-2-0</v>
      </c>
      <c r="N18" s="1" t="str">
        <f>New_York_Rangers!$X$87</f>
        <v>4-3-0</v>
      </c>
      <c r="O18" s="31">
        <f>New_York_Rangers!$E$87</f>
        <v>28</v>
      </c>
      <c r="P18" s="20">
        <f>New_York_Rangers!$F$87</f>
        <v>21</v>
      </c>
      <c r="Q18" s="30">
        <f t="shared" si="5"/>
        <v>7</v>
      </c>
      <c r="R18" s="29" t="str">
        <f>New_York_Rangers!$AA$87</f>
        <v>L1</v>
      </c>
      <c r="S18" s="28" t="str">
        <f>New_York_Rangers!$AD$87</f>
        <v>6-3-0</v>
      </c>
    </row>
    <row r="19" spans="1:19" x14ac:dyDescent="0.3">
      <c r="A19" s="32" t="s">
        <v>10</v>
      </c>
      <c r="B19" s="1">
        <f>Philadelphia_Flyers!$D$88</f>
        <v>9</v>
      </c>
      <c r="C19" s="1">
        <f>Philadelphia_Flyers!$I$86</f>
        <v>0</v>
      </c>
      <c r="D19" s="1">
        <f>Philadelphia_Flyers!$J$86</f>
        <v>6</v>
      </c>
      <c r="E19" s="20">
        <f>Philadelphia_Flyers!$L$86</f>
        <v>3</v>
      </c>
      <c r="F19" s="30">
        <f t="shared" si="3"/>
        <v>3</v>
      </c>
      <c r="G19" s="20">
        <f>C19-Philadelphia_Flyers!$K$86</f>
        <v>0</v>
      </c>
      <c r="H19" s="20">
        <f t="shared" si="4"/>
        <v>0</v>
      </c>
      <c r="I19" s="20">
        <f>Philadelphia_Flyers!$M$86</f>
        <v>0</v>
      </c>
      <c r="J19" s="20">
        <f>Philadelphia_Flyers!$N$86</f>
        <v>1</v>
      </c>
      <c r="K19" s="29" t="str">
        <f>Philadelphia_Flyers!$O$87</f>
        <v>0-2-2</v>
      </c>
      <c r="L19" s="1" t="str">
        <f>Philadelphia_Flyers!$R$87</f>
        <v>0-4-1</v>
      </c>
      <c r="M19" s="1" t="str">
        <f>Philadelphia_Flyers!$U$87</f>
        <v>0-2-2</v>
      </c>
      <c r="N19" s="1" t="str">
        <f>Philadelphia_Flyers!$X$87</f>
        <v>0-6-2</v>
      </c>
      <c r="O19" s="31">
        <f>Philadelphia_Flyers!$E$87</f>
        <v>11</v>
      </c>
      <c r="P19" s="20">
        <f>Philadelphia_Flyers!$F$87</f>
        <v>33</v>
      </c>
      <c r="Q19" s="30">
        <f t="shared" si="5"/>
        <v>-22</v>
      </c>
      <c r="R19" s="29" t="str">
        <f>Philadelphia_Flyers!$AA$87</f>
        <v>L9</v>
      </c>
      <c r="S19" s="28" t="str">
        <f>Philadelphia_Flyers!$AD$87</f>
        <v>0-6-3</v>
      </c>
    </row>
    <row r="20" spans="1:19" x14ac:dyDescent="0.3">
      <c r="A20" s="32" t="s">
        <v>9</v>
      </c>
      <c r="B20" s="1">
        <f>Pittsburgh_Penguins!$D$88</f>
        <v>8</v>
      </c>
      <c r="C20" s="1">
        <f>Pittsburgh_Penguins!$I$86</f>
        <v>3</v>
      </c>
      <c r="D20" s="1">
        <f>Pittsburgh_Penguins!$J$86</f>
        <v>4</v>
      </c>
      <c r="E20" s="20">
        <f>Pittsburgh_Penguins!$L$86</f>
        <v>1</v>
      </c>
      <c r="F20" s="30">
        <f t="shared" si="3"/>
        <v>7</v>
      </c>
      <c r="G20" s="20">
        <f>C20-Pittsburgh_Penguins!$K$86</f>
        <v>1</v>
      </c>
      <c r="H20" s="20">
        <f t="shared" si="4"/>
        <v>2</v>
      </c>
      <c r="I20" s="20">
        <f>Pittsburgh_Penguins!$M$86</f>
        <v>1</v>
      </c>
      <c r="J20" s="20">
        <f>Pittsburgh_Penguins!$N$86</f>
        <v>1</v>
      </c>
      <c r="K20" s="29" t="str">
        <f>Pittsburgh_Penguins!$O$87</f>
        <v>2-1-0</v>
      </c>
      <c r="L20" s="1" t="str">
        <f>Pittsburgh_Penguins!$R$87</f>
        <v>1-3-1</v>
      </c>
      <c r="M20" s="1" t="str">
        <f>Pittsburgh_Penguins!$U$87</f>
        <v>1-1-1</v>
      </c>
      <c r="N20" s="1" t="str">
        <f>Pittsburgh_Penguins!$X$87</f>
        <v>2-1-1</v>
      </c>
      <c r="O20" s="31">
        <f>Pittsburgh_Penguins!$E$87</f>
        <v>27</v>
      </c>
      <c r="P20" s="20">
        <f>Pittsburgh_Penguins!$F$87</f>
        <v>27</v>
      </c>
      <c r="Q20" s="30">
        <f t="shared" si="5"/>
        <v>0</v>
      </c>
      <c r="R20" s="29" t="str">
        <f>Pittsburgh_Penguins!$AA$87</f>
        <v>L2</v>
      </c>
      <c r="S20" s="28" t="str">
        <f>Pittsburgh_Penguins!$AD$87</f>
        <v>3-4-1</v>
      </c>
    </row>
    <row r="21" spans="1:19" ht="15" thickBot="1" x14ac:dyDescent="0.35">
      <c r="A21" s="27" t="s">
        <v>1</v>
      </c>
      <c r="B21" s="26">
        <f>Washington_Capitals!$D$88</f>
        <v>7</v>
      </c>
      <c r="C21" s="26">
        <f>Washington_Capitals!$I$86</f>
        <v>4</v>
      </c>
      <c r="D21" s="26">
        <f>Washington_Capitals!$J$86</f>
        <v>3</v>
      </c>
      <c r="E21" s="24">
        <f>Washington_Capitals!$L$86</f>
        <v>0</v>
      </c>
      <c r="F21" s="23">
        <f t="shared" si="3"/>
        <v>8</v>
      </c>
      <c r="G21" s="24">
        <f>C21-Washington_Capitals!$K$86</f>
        <v>4</v>
      </c>
      <c r="H21" s="24">
        <f t="shared" si="4"/>
        <v>4</v>
      </c>
      <c r="I21" s="24">
        <f>Washington_Capitals!$M$86</f>
        <v>0</v>
      </c>
      <c r="J21" s="24">
        <f>Washington_Capitals!$N$86</f>
        <v>0</v>
      </c>
      <c r="K21" s="22" t="str">
        <f>Washington_Capitals!$O$87</f>
        <v>3-1-0</v>
      </c>
      <c r="L21" s="26" t="str">
        <f>Washington_Capitals!$R$87</f>
        <v>1-2-0</v>
      </c>
      <c r="M21" s="26" t="str">
        <f>Washington_Capitals!$U$87</f>
        <v>3-1-0</v>
      </c>
      <c r="N21" s="26" t="str">
        <f>Washington_Capitals!$X$87</f>
        <v>4-2-0</v>
      </c>
      <c r="O21" s="25">
        <f>Washington_Capitals!$E$87</f>
        <v>24</v>
      </c>
      <c r="P21" s="24">
        <f>Washington_Capitals!$F$87</f>
        <v>22</v>
      </c>
      <c r="Q21" s="23">
        <f t="shared" si="5"/>
        <v>2</v>
      </c>
      <c r="R21" s="22" t="str">
        <f>Washington_Capitals!$AA$87</f>
        <v>W1</v>
      </c>
      <c r="S21" s="21" t="str">
        <f>Washington_Capitals!$AD$87</f>
        <v>4-3-0</v>
      </c>
    </row>
    <row r="22" spans="1:19" ht="24.6" thickTop="1" thickBot="1" x14ac:dyDescent="0.5">
      <c r="A22" s="46" t="s">
        <v>68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19.2" thickTop="1" thickBot="1" x14ac:dyDescent="0.4">
      <c r="A23" s="49" t="s">
        <v>67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5.6" thickTop="1" thickBot="1" x14ac:dyDescent="0.35">
      <c r="A24" s="7" t="s">
        <v>33</v>
      </c>
      <c r="B24" s="7" t="s">
        <v>65</v>
      </c>
      <c r="C24" s="7" t="s">
        <v>64</v>
      </c>
      <c r="D24" s="7" t="s">
        <v>63</v>
      </c>
      <c r="E24" s="35" t="s">
        <v>62</v>
      </c>
      <c r="F24" s="35" t="s">
        <v>61</v>
      </c>
      <c r="G24" s="35" t="s">
        <v>51</v>
      </c>
      <c r="H24" s="35" t="s">
        <v>49</v>
      </c>
      <c r="I24" s="35" t="s">
        <v>47</v>
      </c>
      <c r="J24" s="35" t="s">
        <v>45</v>
      </c>
      <c r="K24" s="7" t="s">
        <v>60</v>
      </c>
      <c r="L24" s="7" t="s">
        <v>59</v>
      </c>
      <c r="M24" s="7" t="s">
        <v>58</v>
      </c>
      <c r="N24" s="7" t="s">
        <v>57</v>
      </c>
      <c r="O24" s="34" t="s">
        <v>56</v>
      </c>
      <c r="P24" s="34" t="s">
        <v>55</v>
      </c>
      <c r="Q24" s="34" t="s">
        <v>54</v>
      </c>
      <c r="R24" s="7" t="s">
        <v>53</v>
      </c>
      <c r="S24" s="7" t="s">
        <v>52</v>
      </c>
    </row>
    <row r="25" spans="1:19" ht="15" thickTop="1" x14ac:dyDescent="0.3">
      <c r="A25" s="32" t="s">
        <v>25</v>
      </c>
      <c r="B25" s="1">
        <f>Chicago_Blackhawks!$D$88</f>
        <v>8</v>
      </c>
      <c r="C25" s="1">
        <f>Chicago_Blackhawks!$I$86</f>
        <v>3</v>
      </c>
      <c r="D25" s="1">
        <f>Chicago_Blackhawks!$J$86</f>
        <v>5</v>
      </c>
      <c r="E25" s="20">
        <f>Chicago_Blackhawks!$L$86</f>
        <v>0</v>
      </c>
      <c r="F25" s="30">
        <f t="shared" ref="F25:F31" si="6">(C25*2)+E25</f>
        <v>6</v>
      </c>
      <c r="G25" s="20">
        <f>C25-Chicago_Blackhawks!$K$86</f>
        <v>2</v>
      </c>
      <c r="H25" s="20">
        <f t="shared" ref="H25:H31" si="7">C25-I25</f>
        <v>3</v>
      </c>
      <c r="I25" s="20">
        <f>Chicago_Blackhawks!$M$86</f>
        <v>0</v>
      </c>
      <c r="J25" s="20">
        <f>Chicago_Blackhawks!$N$86</f>
        <v>0</v>
      </c>
      <c r="K25" s="29" t="str">
        <f>Chicago_Blackhawks!$O$87</f>
        <v>3-1-0</v>
      </c>
      <c r="L25" s="1" t="str">
        <f>Chicago_Blackhawks!$R$87</f>
        <v>0-4-0</v>
      </c>
      <c r="M25" s="1" t="str">
        <f>Chicago_Blackhawks!$U$87</f>
        <v>2-1-0</v>
      </c>
      <c r="N25" s="1" t="str">
        <f>Chicago_Blackhawks!$X$87</f>
        <v>2-2-0</v>
      </c>
      <c r="O25" s="31">
        <f>Chicago_Blackhawks!$E$87</f>
        <v>21</v>
      </c>
      <c r="P25" s="20">
        <f>Chicago_Blackhawks!$F$87</f>
        <v>32</v>
      </c>
      <c r="Q25" s="30">
        <f t="shared" ref="Q25:Q31" si="8">O25-P25</f>
        <v>-11</v>
      </c>
      <c r="R25" s="29" t="str">
        <f>Chicago_Blackhawks!$AA$87</f>
        <v>W2</v>
      </c>
      <c r="S25" s="28" t="str">
        <f>Chicago_Blackhawks!$AD$87</f>
        <v>3-5-0</v>
      </c>
    </row>
    <row r="26" spans="1:19" x14ac:dyDescent="0.3">
      <c r="A26" s="32" t="s">
        <v>24</v>
      </c>
      <c r="B26" s="1">
        <f>Colorado_Avalanche!$D$88</f>
        <v>8</v>
      </c>
      <c r="C26" s="1">
        <f>Colorado_Avalanche!$I$86</f>
        <v>5</v>
      </c>
      <c r="D26" s="1">
        <f>Colorado_Avalanche!$J$86</f>
        <v>2</v>
      </c>
      <c r="E26" s="20">
        <f>Colorado_Avalanche!$L$86</f>
        <v>1</v>
      </c>
      <c r="F26" s="30">
        <f t="shared" si="6"/>
        <v>11</v>
      </c>
      <c r="G26" s="20">
        <f>C26-Colorado_Avalanche!$K$86</f>
        <v>5</v>
      </c>
      <c r="H26" s="20">
        <f t="shared" si="7"/>
        <v>5</v>
      </c>
      <c r="I26" s="20">
        <f>Colorado_Avalanche!$M$86</f>
        <v>0</v>
      </c>
      <c r="J26" s="20">
        <f>Colorado_Avalanche!$N$86</f>
        <v>1</v>
      </c>
      <c r="K26" s="29" t="str">
        <f>Colorado_Avalanche!$O$87</f>
        <v>3-1-1</v>
      </c>
      <c r="L26" s="1" t="str">
        <f>Colorado_Avalanche!$R$87</f>
        <v>2-1-0</v>
      </c>
      <c r="M26" s="1" t="str">
        <f>Colorado_Avalanche!$U$87</f>
        <v>2-1-1</v>
      </c>
      <c r="N26" s="1" t="str">
        <f>Colorado_Avalanche!$X$87</f>
        <v>4-1-1</v>
      </c>
      <c r="O26" s="31">
        <f>Colorado_Avalanche!$E$87</f>
        <v>36</v>
      </c>
      <c r="P26" s="20">
        <f>Colorado_Avalanche!$F$87</f>
        <v>24</v>
      </c>
      <c r="Q26" s="30">
        <f t="shared" si="8"/>
        <v>12</v>
      </c>
      <c r="R26" s="29" t="str">
        <f>Colorado_Avalanche!$AA$87</f>
        <v>W1</v>
      </c>
      <c r="S26" s="28" t="str">
        <f>Colorado_Avalanche!$AD$87</f>
        <v>5-2-1</v>
      </c>
    </row>
    <row r="27" spans="1:19" x14ac:dyDescent="0.3">
      <c r="A27" s="32" t="s">
        <v>22</v>
      </c>
      <c r="B27" s="1">
        <f>Dallas_Stars!$D$88</f>
        <v>7</v>
      </c>
      <c r="C27" s="1">
        <f>Dallas_Stars!$I$86</f>
        <v>3</v>
      </c>
      <c r="D27" s="1">
        <f>Dallas_Stars!$J$86</f>
        <v>3</v>
      </c>
      <c r="E27" s="20">
        <f>Dallas_Stars!$L$86</f>
        <v>1</v>
      </c>
      <c r="F27" s="30">
        <f t="shared" si="6"/>
        <v>7</v>
      </c>
      <c r="G27" s="20">
        <f>C27-Dallas_Stars!$K$86</f>
        <v>2</v>
      </c>
      <c r="H27" s="20">
        <f t="shared" si="7"/>
        <v>2</v>
      </c>
      <c r="I27" s="20">
        <f>Dallas_Stars!$M$86</f>
        <v>1</v>
      </c>
      <c r="J27" s="20">
        <f>Dallas_Stars!$N$86</f>
        <v>1</v>
      </c>
      <c r="K27" s="29" t="str">
        <f>Dallas_Stars!$O$87</f>
        <v>1-2-0</v>
      </c>
      <c r="L27" s="1" t="str">
        <f>Dallas_Stars!$R$87</f>
        <v>2-1-1</v>
      </c>
      <c r="M27" s="1" t="str">
        <f>Dallas_Stars!$U$87</f>
        <v>1-3-0</v>
      </c>
      <c r="N27" s="1" t="str">
        <f>Dallas_Stars!$X$87</f>
        <v>2-3-0</v>
      </c>
      <c r="O27" s="31">
        <f>Dallas_Stars!$E$87</f>
        <v>16</v>
      </c>
      <c r="P27" s="20">
        <f>Dallas_Stars!$F$87</f>
        <v>13</v>
      </c>
      <c r="Q27" s="30">
        <f t="shared" si="8"/>
        <v>3</v>
      </c>
      <c r="R27" s="29" t="str">
        <f>Dallas_Stars!$AA$87</f>
        <v>W1</v>
      </c>
      <c r="S27" s="28" t="str">
        <f>Dallas_Stars!$AD$87</f>
        <v>3-3-1</v>
      </c>
    </row>
    <row r="28" spans="1:19" x14ac:dyDescent="0.3">
      <c r="A28" s="32" t="s">
        <v>17</v>
      </c>
      <c r="B28" s="1">
        <f>Minnesota_Wild!$D$88</f>
        <v>8</v>
      </c>
      <c r="C28" s="1">
        <f>Minnesota_Wild!$I$86</f>
        <v>5</v>
      </c>
      <c r="D28" s="1">
        <f>Minnesota_Wild!$J$86</f>
        <v>2</v>
      </c>
      <c r="E28" s="20">
        <f>Minnesota_Wild!$L$86</f>
        <v>1</v>
      </c>
      <c r="F28" s="30">
        <f t="shared" si="6"/>
        <v>11</v>
      </c>
      <c r="G28" s="20">
        <f>C28-Minnesota_Wild!$K$86</f>
        <v>5</v>
      </c>
      <c r="H28" s="20">
        <f t="shared" si="7"/>
        <v>5</v>
      </c>
      <c r="I28" s="20">
        <f>Minnesota_Wild!$M$86</f>
        <v>0</v>
      </c>
      <c r="J28" s="20">
        <f>Minnesota_Wild!$N$86</f>
        <v>0</v>
      </c>
      <c r="K28" s="29" t="str">
        <f>Minnesota_Wild!$O$87</f>
        <v>3-0-0</v>
      </c>
      <c r="L28" s="1" t="str">
        <f>Minnesota_Wild!$R$87</f>
        <v>2-2-1</v>
      </c>
      <c r="M28" s="1" t="str">
        <f>Minnesota_Wild!$U$87</f>
        <v>2-1-0</v>
      </c>
      <c r="N28" s="1" t="str">
        <f>Minnesota_Wild!$X$87</f>
        <v>3-1-0</v>
      </c>
      <c r="O28" s="31">
        <f>Minnesota_Wild!$E$87</f>
        <v>26</v>
      </c>
      <c r="P28" s="20">
        <f>Minnesota_Wild!$F$87</f>
        <v>20</v>
      </c>
      <c r="Q28" s="30">
        <f t="shared" si="8"/>
        <v>6</v>
      </c>
      <c r="R28" s="29" t="str">
        <f>Minnesota_Wild!$AA$87</f>
        <v>W1</v>
      </c>
      <c r="S28" s="28" t="str">
        <f>Minnesota_Wild!$AD$87</f>
        <v>5-2-1</v>
      </c>
    </row>
    <row r="29" spans="1:19" x14ac:dyDescent="0.3">
      <c r="A29" s="32" t="s">
        <v>15</v>
      </c>
      <c r="B29" s="1">
        <f>Nashville_Predators!$D$88</f>
        <v>7</v>
      </c>
      <c r="C29" s="1">
        <f>Nashville_Predators!$I$86</f>
        <v>2</v>
      </c>
      <c r="D29" s="1">
        <f>Nashville_Predators!$J$86</f>
        <v>2</v>
      </c>
      <c r="E29" s="20">
        <f>Nashville_Predators!$L$86</f>
        <v>3</v>
      </c>
      <c r="F29" s="30">
        <f t="shared" si="6"/>
        <v>7</v>
      </c>
      <c r="G29" s="20">
        <f>C29-Nashville_Predators!$K$86</f>
        <v>2</v>
      </c>
      <c r="H29" s="20">
        <f t="shared" si="7"/>
        <v>2</v>
      </c>
      <c r="I29" s="20">
        <f>Nashville_Predators!$M$86</f>
        <v>0</v>
      </c>
      <c r="J29" s="20">
        <f>Nashville_Predators!$N$86</f>
        <v>2</v>
      </c>
      <c r="K29" s="29" t="str">
        <f>Nashville_Predators!$O$87</f>
        <v>1-2-1</v>
      </c>
      <c r="L29" s="1" t="str">
        <f>Nashville_Predators!$R$87</f>
        <v>1-0-2</v>
      </c>
      <c r="M29" s="1" t="str">
        <f>Nashville_Predators!$U$87</f>
        <v>1-1-0</v>
      </c>
      <c r="N29" s="1" t="str">
        <f>Nashville_Predators!$X$87</f>
        <v>1-2-1</v>
      </c>
      <c r="O29" s="31">
        <f>Nashville_Predators!$E$87</f>
        <v>18</v>
      </c>
      <c r="P29" s="20">
        <f>Nashville_Predators!$F$87</f>
        <v>22</v>
      </c>
      <c r="Q29" s="30">
        <f t="shared" si="8"/>
        <v>-4</v>
      </c>
      <c r="R29" s="29" t="str">
        <f>Nashville_Predators!$AA$87</f>
        <v>L3</v>
      </c>
      <c r="S29" s="28" t="str">
        <f>Nashville_Predators!$AD$87</f>
        <v>2-2-3</v>
      </c>
    </row>
    <row r="30" spans="1:19" x14ac:dyDescent="0.3">
      <c r="A30" s="32" t="s">
        <v>6</v>
      </c>
      <c r="B30" s="1">
        <f>St_Louis_Blues!$D$88</f>
        <v>7</v>
      </c>
      <c r="C30" s="1">
        <f>St_Louis_Blues!$I$86</f>
        <v>3</v>
      </c>
      <c r="D30" s="1">
        <f>St_Louis_Blues!$J$86</f>
        <v>3</v>
      </c>
      <c r="E30" s="20">
        <f>St_Louis_Blues!$L$86</f>
        <v>1</v>
      </c>
      <c r="F30" s="30">
        <f t="shared" si="6"/>
        <v>7</v>
      </c>
      <c r="G30" s="20">
        <f>C30-St_Louis_Blues!$K$86</f>
        <v>3</v>
      </c>
      <c r="H30" s="20">
        <f t="shared" si="7"/>
        <v>3</v>
      </c>
      <c r="I30" s="20">
        <f>St_Louis_Blues!$M$86</f>
        <v>0</v>
      </c>
      <c r="J30" s="20">
        <f>St_Louis_Blues!$N$86</f>
        <v>0</v>
      </c>
      <c r="K30" s="29" t="str">
        <f>St_Louis_Blues!$O$87</f>
        <v>1-0-1</v>
      </c>
      <c r="L30" s="1" t="str">
        <f>St_Louis_Blues!$R$87</f>
        <v>2-3-0</v>
      </c>
      <c r="M30" s="1" t="str">
        <f>St_Louis_Blues!$U$87</f>
        <v>1-3-0</v>
      </c>
      <c r="N30" s="1" t="str">
        <f>St_Louis_Blues!$X$87</f>
        <v>1-3-1</v>
      </c>
      <c r="O30" s="31">
        <f>St_Louis_Blues!$E$87</f>
        <v>25</v>
      </c>
      <c r="P30" s="20">
        <f>St_Louis_Blues!$F$87</f>
        <v>23</v>
      </c>
      <c r="Q30" s="30">
        <f t="shared" si="8"/>
        <v>2</v>
      </c>
      <c r="R30" s="29" t="str">
        <f>St_Louis_Blues!$AA$87</f>
        <v>L1</v>
      </c>
      <c r="S30" s="28" t="str">
        <f>St_Louis_Blues!$AD$87</f>
        <v>3-3-1</v>
      </c>
    </row>
    <row r="31" spans="1:19" x14ac:dyDescent="0.3">
      <c r="A31" s="32" t="s">
        <v>89</v>
      </c>
      <c r="B31" s="1">
        <f>Utah_Mammoth!$D$88</f>
        <v>8</v>
      </c>
      <c r="C31" s="1">
        <f>Utah_Mammoth!$I$86</f>
        <v>6</v>
      </c>
      <c r="D31" s="1">
        <f>Utah_Mammoth!$J$86</f>
        <v>2</v>
      </c>
      <c r="E31" s="20">
        <f>Utah_Mammoth!$L$86</f>
        <v>0</v>
      </c>
      <c r="F31" s="30">
        <f t="shared" si="6"/>
        <v>12</v>
      </c>
      <c r="G31" s="20">
        <f>C31-Utah_Mammoth!$K$86</f>
        <v>6</v>
      </c>
      <c r="H31" s="20">
        <f t="shared" si="7"/>
        <v>6</v>
      </c>
      <c r="I31" s="20">
        <f>Utah_Mammoth!$M$86</f>
        <v>0</v>
      </c>
      <c r="J31" s="20">
        <f>Utah_Mammoth!$N$86</f>
        <v>0</v>
      </c>
      <c r="K31" s="29" t="str">
        <f>Utah_Mammoth!$O$87</f>
        <v>2-0-0</v>
      </c>
      <c r="L31" s="1" t="str">
        <f>Utah_Mammoth!$R$87</f>
        <v>4-2-0</v>
      </c>
      <c r="M31" s="1" t="str">
        <f>Utah_Mammoth!$U$87</f>
        <v>1-0-0</v>
      </c>
      <c r="N31" s="1" t="str">
        <f>Utah_Mammoth!$X$87</f>
        <v>2-0-0</v>
      </c>
      <c r="O31" s="31">
        <f>Utah_Mammoth!$E$87</f>
        <v>31</v>
      </c>
      <c r="P31" s="20">
        <f>Utah_Mammoth!$F$87</f>
        <v>21</v>
      </c>
      <c r="Q31" s="30">
        <f t="shared" si="8"/>
        <v>10</v>
      </c>
      <c r="R31" s="29" t="str">
        <f>Utah_Mammoth!$AA$87</f>
        <v>W3</v>
      </c>
      <c r="S31" s="28" t="str">
        <f>Utah_Mammoth!$AD$87</f>
        <v>6-2-0</v>
      </c>
    </row>
    <row r="32" spans="1:19" ht="15" thickBot="1" x14ac:dyDescent="0.35">
      <c r="A32" s="32" t="s">
        <v>0</v>
      </c>
      <c r="B32" s="1">
        <f>Winnipeg_Jets!$D$88</f>
        <v>7</v>
      </c>
      <c r="C32" s="1">
        <f>Winnipeg_Jets!$I$86</f>
        <v>4</v>
      </c>
      <c r="D32" s="1">
        <f>Winnipeg_Jets!$J$86</f>
        <v>1</v>
      </c>
      <c r="E32" s="20">
        <f>Winnipeg_Jets!$L$86</f>
        <v>2</v>
      </c>
      <c r="F32" s="23">
        <f t="shared" ref="F32" si="9">(C32*2)+E32</f>
        <v>10</v>
      </c>
      <c r="G32" s="20">
        <f>C32-Winnipeg_Jets!$K$86</f>
        <v>4</v>
      </c>
      <c r="H32" s="20">
        <f t="shared" ref="H32" si="10">C32-I32</f>
        <v>4</v>
      </c>
      <c r="I32" s="20">
        <f>Winnipeg_Jets!$M$86</f>
        <v>0</v>
      </c>
      <c r="J32" s="20">
        <f>Winnipeg_Jets!$N$86</f>
        <v>0</v>
      </c>
      <c r="K32" s="29" t="str">
        <f>Winnipeg_Jets!$O$87</f>
        <v>2-1-1</v>
      </c>
      <c r="L32" s="1" t="str">
        <f>Winnipeg_Jets!$R$87</f>
        <v>2-0-1</v>
      </c>
      <c r="M32" s="1" t="str">
        <f>Winnipeg_Jets!$U$87</f>
        <v>1-0-1</v>
      </c>
      <c r="N32" s="1" t="str">
        <f>Winnipeg_Jets!$X$87</f>
        <v>2-1-1</v>
      </c>
      <c r="O32" s="31">
        <f>Winnipeg_Jets!$E$87</f>
        <v>21</v>
      </c>
      <c r="P32" s="20">
        <f>Winnipeg_Jets!$F$87</f>
        <v>21</v>
      </c>
      <c r="Q32" s="30">
        <f t="shared" ref="Q32" si="11">O32-P32</f>
        <v>0</v>
      </c>
      <c r="R32" s="29" t="str">
        <f>Winnipeg_Jets!$AA$87</f>
        <v>L1</v>
      </c>
      <c r="S32" s="28" t="str">
        <f>Winnipeg_Jets!$AD$87</f>
        <v>4-1-2</v>
      </c>
    </row>
    <row r="33" spans="1:19" ht="19.2" thickTop="1" thickBot="1" x14ac:dyDescent="0.4">
      <c r="A33" s="49" t="s">
        <v>66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5.6" thickTop="1" thickBot="1" x14ac:dyDescent="0.35">
      <c r="A34" s="7" t="s">
        <v>33</v>
      </c>
      <c r="B34" s="7" t="s">
        <v>65</v>
      </c>
      <c r="C34" s="7" t="s">
        <v>64</v>
      </c>
      <c r="D34" s="7" t="s">
        <v>63</v>
      </c>
      <c r="E34" s="35" t="s">
        <v>62</v>
      </c>
      <c r="F34" s="35" t="s">
        <v>61</v>
      </c>
      <c r="G34" s="35" t="s">
        <v>51</v>
      </c>
      <c r="H34" s="35" t="s">
        <v>49</v>
      </c>
      <c r="I34" s="35" t="s">
        <v>47</v>
      </c>
      <c r="J34" s="35" t="s">
        <v>45</v>
      </c>
      <c r="K34" s="7" t="s">
        <v>60</v>
      </c>
      <c r="L34" s="7" t="s">
        <v>59</v>
      </c>
      <c r="M34" s="7" t="s">
        <v>58</v>
      </c>
      <c r="N34" s="7" t="s">
        <v>57</v>
      </c>
      <c r="O34" s="34" t="s">
        <v>56</v>
      </c>
      <c r="P34" s="34" t="s">
        <v>55</v>
      </c>
      <c r="Q34" s="34" t="s">
        <v>54</v>
      </c>
      <c r="R34" s="7" t="s">
        <v>53</v>
      </c>
      <c r="S34" s="7" t="s">
        <v>52</v>
      </c>
    </row>
    <row r="35" spans="1:19" ht="15" thickTop="1" x14ac:dyDescent="0.3">
      <c r="A35" s="32" t="s">
        <v>31</v>
      </c>
      <c r="B35" s="1">
        <f>Anaheim_Ducks!$D$88</f>
        <v>7</v>
      </c>
      <c r="C35" s="1">
        <f>Anaheim_Ducks!$I$86</f>
        <v>4</v>
      </c>
      <c r="D35" s="1">
        <f>Anaheim_Ducks!$J$86</f>
        <v>3</v>
      </c>
      <c r="E35" s="20">
        <f>Anaheim_Ducks!$L$86</f>
        <v>0</v>
      </c>
      <c r="F35" s="33">
        <f t="shared" ref="F35:F42" si="12">(C35*2)+E35</f>
        <v>8</v>
      </c>
      <c r="G35" s="20">
        <f>C35-Anaheim_Ducks!$K$86</f>
        <v>3</v>
      </c>
      <c r="H35" s="20">
        <f t="shared" ref="H35:H42" si="13">C35-I35</f>
        <v>4</v>
      </c>
      <c r="I35" s="20">
        <f>Anaheim_Ducks!$M$86</f>
        <v>0</v>
      </c>
      <c r="J35" s="20">
        <f>Anaheim_Ducks!$N$86</f>
        <v>0</v>
      </c>
      <c r="K35" s="29" t="str">
        <f>Anaheim_Ducks!$O$87</f>
        <v>1-3-0</v>
      </c>
      <c r="L35" s="1" t="str">
        <f>Anaheim_Ducks!$R$87</f>
        <v>3-0-0</v>
      </c>
      <c r="M35" s="1" t="str">
        <f>Anaheim_Ducks!$U$87</f>
        <v>2-2-0</v>
      </c>
      <c r="N35" s="1" t="str">
        <f>Anaheim_Ducks!$X$87</f>
        <v>3-2-0</v>
      </c>
      <c r="O35" s="31">
        <f>Anaheim_Ducks!$E$87</f>
        <v>22</v>
      </c>
      <c r="P35" s="20">
        <f>Anaheim_Ducks!$F$87</f>
        <v>21</v>
      </c>
      <c r="Q35" s="30">
        <f t="shared" ref="Q35:Q42" si="14">O35-P35</f>
        <v>1</v>
      </c>
      <c r="R35" s="29" t="str">
        <f>Anaheim_Ducks!$AA$87</f>
        <v>L2</v>
      </c>
      <c r="S35" s="28" t="str">
        <f>Anaheim_Ducks!$AD$87</f>
        <v>4-3-0</v>
      </c>
    </row>
    <row r="36" spans="1:19" x14ac:dyDescent="0.3">
      <c r="A36" s="32" t="s">
        <v>27</v>
      </c>
      <c r="B36" s="1">
        <f>Calgary_Flames!$D$88</f>
        <v>7</v>
      </c>
      <c r="C36" s="1">
        <f>Calgary_Flames!$I$86</f>
        <v>1</v>
      </c>
      <c r="D36" s="1">
        <f>Calgary_Flames!$J$86</f>
        <v>6</v>
      </c>
      <c r="E36" s="20">
        <f>Calgary_Flames!$L$86</f>
        <v>0</v>
      </c>
      <c r="F36" s="30">
        <f t="shared" si="12"/>
        <v>2</v>
      </c>
      <c r="G36" s="20">
        <f>C36-Calgary_Flames!$K$86</f>
        <v>1</v>
      </c>
      <c r="H36" s="20">
        <f t="shared" si="13"/>
        <v>1</v>
      </c>
      <c r="I36" s="20">
        <f>Calgary_Flames!$M$86</f>
        <v>0</v>
      </c>
      <c r="J36" s="20">
        <f>Calgary_Flames!$N$86</f>
        <v>0</v>
      </c>
      <c r="K36" s="29" t="str">
        <f>Calgary_Flames!$O$87</f>
        <v>0-3-0</v>
      </c>
      <c r="L36" s="1" t="str">
        <f>Calgary_Flames!$R$87</f>
        <v>1-3-0</v>
      </c>
      <c r="M36" s="1" t="str">
        <f>Calgary_Flames!$U$87</f>
        <v>1-5-0</v>
      </c>
      <c r="N36" s="1" t="str">
        <f>Calgary_Flames!$X$87</f>
        <v>1-6-0</v>
      </c>
      <c r="O36" s="31">
        <f>Calgary_Flames!$E$87</f>
        <v>14</v>
      </c>
      <c r="P36" s="20">
        <f>Calgary_Flames!$F$87</f>
        <v>35</v>
      </c>
      <c r="Q36" s="30">
        <f t="shared" si="14"/>
        <v>-21</v>
      </c>
      <c r="R36" s="29" t="str">
        <f>Calgary_Flames!$AA$87</f>
        <v>L1</v>
      </c>
      <c r="S36" s="28" t="str">
        <f>Calgary_Flames!$AD$87</f>
        <v>1-6-0</v>
      </c>
    </row>
    <row r="37" spans="1:19" x14ac:dyDescent="0.3">
      <c r="A37" s="32" t="s">
        <v>20</v>
      </c>
      <c r="B37" s="1">
        <f>Edmonton_Oilers!$D$88</f>
        <v>7</v>
      </c>
      <c r="C37" s="1">
        <f>Edmonton_Oilers!$I$86</f>
        <v>5</v>
      </c>
      <c r="D37" s="1">
        <f>Edmonton_Oilers!$J$86</f>
        <v>1</v>
      </c>
      <c r="E37" s="20">
        <f>Edmonton_Oilers!$L$86</f>
        <v>1</v>
      </c>
      <c r="F37" s="30">
        <f t="shared" si="12"/>
        <v>11</v>
      </c>
      <c r="G37" s="20">
        <f>C37-Edmonton_Oilers!$K$86</f>
        <v>5</v>
      </c>
      <c r="H37" s="20">
        <f t="shared" si="13"/>
        <v>5</v>
      </c>
      <c r="I37" s="20">
        <f>Edmonton_Oilers!$M$86</f>
        <v>0</v>
      </c>
      <c r="J37" s="20">
        <f>Edmonton_Oilers!$N$86</f>
        <v>0</v>
      </c>
      <c r="K37" s="29" t="str">
        <f>Edmonton_Oilers!$O$87</f>
        <v>1-1-1</v>
      </c>
      <c r="L37" s="1" t="str">
        <f>Edmonton_Oilers!$R$87</f>
        <v>4-0-0</v>
      </c>
      <c r="M37" s="1" t="str">
        <f>Edmonton_Oilers!$U$87</f>
        <v>5-0-1</v>
      </c>
      <c r="N37" s="1" t="str">
        <f>Edmonton_Oilers!$X$87</f>
        <v>5-1-1</v>
      </c>
      <c r="O37" s="31">
        <f>Edmonton_Oilers!$E$87</f>
        <v>31</v>
      </c>
      <c r="P37" s="20">
        <f>Edmonton_Oilers!$F$87</f>
        <v>22</v>
      </c>
      <c r="Q37" s="30">
        <f t="shared" si="14"/>
        <v>9</v>
      </c>
      <c r="R37" s="29" t="str">
        <f>Edmonton_Oilers!$AA$87</f>
        <v>L1</v>
      </c>
      <c r="S37" s="28" t="str">
        <f>Edmonton_Oilers!$AD$87</f>
        <v>5-1-1</v>
      </c>
    </row>
    <row r="38" spans="1:19" x14ac:dyDescent="0.3">
      <c r="A38" s="32" t="s">
        <v>18</v>
      </c>
      <c r="B38" s="1">
        <f>Los_Angeles_Kings!$D$88</f>
        <v>5</v>
      </c>
      <c r="C38" s="1">
        <f>Los_Angeles_Kings!$I$86</f>
        <v>0</v>
      </c>
      <c r="D38" s="1">
        <f>Los_Angeles_Kings!$J$86</f>
        <v>3</v>
      </c>
      <c r="E38" s="20">
        <f>Los_Angeles_Kings!$L$86</f>
        <v>2</v>
      </c>
      <c r="F38" s="30">
        <f t="shared" si="12"/>
        <v>2</v>
      </c>
      <c r="G38" s="20">
        <f>C38-Los_Angeles_Kings!$K$86</f>
        <v>0</v>
      </c>
      <c r="H38" s="20">
        <f t="shared" si="13"/>
        <v>0</v>
      </c>
      <c r="I38" s="20">
        <f>Los_Angeles_Kings!$M$86</f>
        <v>0</v>
      </c>
      <c r="J38" s="20">
        <f>Los_Angeles_Kings!$N$86</f>
        <v>0</v>
      </c>
      <c r="K38" s="29" t="str">
        <f>Los_Angeles_Kings!$O$87</f>
        <v>0-2-0</v>
      </c>
      <c r="L38" s="1" t="str">
        <f>Los_Angeles_Kings!$R$87</f>
        <v>0-1-2</v>
      </c>
      <c r="M38" s="1" t="str">
        <f>Los_Angeles_Kings!$U$87</f>
        <v>0-1-2</v>
      </c>
      <c r="N38" s="1" t="str">
        <f>Los_Angeles_Kings!$X$87</f>
        <v>0-2-2</v>
      </c>
      <c r="O38" s="31">
        <f>Los_Angeles_Kings!$E$87</f>
        <v>11</v>
      </c>
      <c r="P38" s="20">
        <f>Los_Angeles_Kings!$F$87</f>
        <v>21</v>
      </c>
      <c r="Q38" s="30">
        <f t="shared" si="14"/>
        <v>-10</v>
      </c>
      <c r="R38" s="29" t="str">
        <f>Los_Angeles_Kings!$AA$87</f>
        <v>L5</v>
      </c>
      <c r="S38" s="28" t="str">
        <f>Los_Angeles_Kings!$AD$87</f>
        <v>0-3-2</v>
      </c>
    </row>
    <row r="39" spans="1:19" x14ac:dyDescent="0.3">
      <c r="A39" s="32" t="s">
        <v>8</v>
      </c>
      <c r="B39" s="1">
        <f>San_Jose_Sharks!$D$88</f>
        <v>7</v>
      </c>
      <c r="C39" s="1">
        <f>San_Jose_Sharks!$I$86</f>
        <v>4</v>
      </c>
      <c r="D39" s="1">
        <f>San_Jose_Sharks!$J$86</f>
        <v>3</v>
      </c>
      <c r="E39" s="20">
        <f>San_Jose_Sharks!$L$86</f>
        <v>0</v>
      </c>
      <c r="F39" s="30">
        <f t="shared" si="12"/>
        <v>8</v>
      </c>
      <c r="G39" s="20">
        <f>C39-San_Jose_Sharks!$K$86</f>
        <v>0</v>
      </c>
      <c r="H39" s="20">
        <f t="shared" si="13"/>
        <v>3</v>
      </c>
      <c r="I39" s="20">
        <f>San_Jose_Sharks!$M$86</f>
        <v>1</v>
      </c>
      <c r="J39" s="20">
        <f>San_Jose_Sharks!$N$86</f>
        <v>0</v>
      </c>
      <c r="K39" s="29" t="str">
        <f>San_Jose_Sharks!$O$87</f>
        <v>2-2-0</v>
      </c>
      <c r="L39" s="1" t="str">
        <f>San_Jose_Sharks!$R$87</f>
        <v>2-1-0</v>
      </c>
      <c r="M39" s="1" t="str">
        <f>San_Jose_Sharks!$U$87</f>
        <v>1-1-0</v>
      </c>
      <c r="N39" s="1" t="str">
        <f>San_Jose_Sharks!$X$87</f>
        <v>3-2-0</v>
      </c>
      <c r="O39" s="31">
        <f>San_Jose_Sharks!$E$87</f>
        <v>19</v>
      </c>
      <c r="P39" s="20">
        <f>San_Jose_Sharks!$F$87</f>
        <v>25</v>
      </c>
      <c r="Q39" s="30">
        <f t="shared" si="14"/>
        <v>-6</v>
      </c>
      <c r="R39" s="29" t="str">
        <f>San_Jose_Sharks!$AA$87</f>
        <v>W1</v>
      </c>
      <c r="S39" s="28" t="str">
        <f>San_Jose_Sharks!$AD$87</f>
        <v>4-3-0</v>
      </c>
    </row>
    <row r="40" spans="1:19" x14ac:dyDescent="0.3">
      <c r="A40" s="32" t="s">
        <v>7</v>
      </c>
      <c r="B40" s="1">
        <f>Seattle_Kraken!$D$88</f>
        <v>8</v>
      </c>
      <c r="C40" s="1">
        <f>Seattle_Kraken!$I$86</f>
        <v>5</v>
      </c>
      <c r="D40" s="1">
        <f>Seattle_Kraken!$J$86</f>
        <v>2</v>
      </c>
      <c r="E40" s="20">
        <f>Seattle_Kraken!$L$86</f>
        <v>1</v>
      </c>
      <c r="F40" s="30">
        <f t="shared" si="12"/>
        <v>11</v>
      </c>
      <c r="G40" s="20">
        <f>C40-Seattle_Kraken!$K$86</f>
        <v>4</v>
      </c>
      <c r="H40" s="20">
        <f t="shared" si="13"/>
        <v>4</v>
      </c>
      <c r="I40" s="20">
        <f>Seattle_Kraken!$M$86</f>
        <v>1</v>
      </c>
      <c r="J40" s="20">
        <f>Seattle_Kraken!$N$86</f>
        <v>0</v>
      </c>
      <c r="K40" s="29" t="str">
        <f>Seattle_Kraken!$O$87</f>
        <v>1-1-0</v>
      </c>
      <c r="L40" s="1" t="str">
        <f>Seattle_Kraken!$R$87</f>
        <v>4-1-1</v>
      </c>
      <c r="M40" s="1" t="str">
        <f>Seattle_Kraken!$U$87</f>
        <v>2-2-0</v>
      </c>
      <c r="N40" s="1" t="str">
        <f>Seattle_Kraken!$X$87</f>
        <v>2-2-0</v>
      </c>
      <c r="O40" s="31">
        <f>Seattle_Kraken!$E$87</f>
        <v>32</v>
      </c>
      <c r="P40" s="20">
        <f>Seattle_Kraken!$F$87</f>
        <v>23</v>
      </c>
      <c r="Q40" s="30">
        <f t="shared" si="14"/>
        <v>9</v>
      </c>
      <c r="R40" s="29" t="str">
        <f>Seattle_Kraken!$AA$87</f>
        <v>L1</v>
      </c>
      <c r="S40" s="28" t="str">
        <f>Seattle_Kraken!$AD$87</f>
        <v>5-2-1</v>
      </c>
    </row>
    <row r="41" spans="1:19" x14ac:dyDescent="0.3">
      <c r="A41" s="32" t="s">
        <v>3</v>
      </c>
      <c r="B41" s="1">
        <f>Vancouver_Canucks!$D$88</f>
        <v>9</v>
      </c>
      <c r="C41" s="1">
        <f>Vancouver_Canucks!$I$86</f>
        <v>2</v>
      </c>
      <c r="D41" s="1">
        <f>Vancouver_Canucks!$J$86</f>
        <v>6</v>
      </c>
      <c r="E41" s="20">
        <f>Vancouver_Canucks!$L$86</f>
        <v>1</v>
      </c>
      <c r="F41" s="30">
        <f t="shared" si="12"/>
        <v>5</v>
      </c>
      <c r="G41" s="20">
        <f>C41-Vancouver_Canucks!$K$86</f>
        <v>1</v>
      </c>
      <c r="H41" s="20">
        <f t="shared" si="13"/>
        <v>2</v>
      </c>
      <c r="I41" s="20">
        <f>Vancouver_Canucks!$M$86</f>
        <v>0</v>
      </c>
      <c r="J41" s="20">
        <f>Vancouver_Canucks!$N$86</f>
        <v>0</v>
      </c>
      <c r="K41" s="29" t="str">
        <f>Vancouver_Canucks!$O$87</f>
        <v>1-2-0</v>
      </c>
      <c r="L41" s="1" t="str">
        <f>Vancouver_Canucks!$R$87</f>
        <v>1-4-1</v>
      </c>
      <c r="M41" s="1" t="str">
        <f>Vancouver_Canucks!$U$87</f>
        <v>2-2-0</v>
      </c>
      <c r="N41" s="1" t="str">
        <f>Vancouver_Canucks!$X$87</f>
        <v>2-2-0</v>
      </c>
      <c r="O41" s="31">
        <f>Vancouver_Canucks!$E$87</f>
        <v>28</v>
      </c>
      <c r="P41" s="20">
        <f>Vancouver_Canucks!$F$87</f>
        <v>41</v>
      </c>
      <c r="Q41" s="30">
        <f t="shared" si="14"/>
        <v>-13</v>
      </c>
      <c r="R41" s="29" t="str">
        <f>Vancouver_Canucks!$AA$87</f>
        <v>L6</v>
      </c>
      <c r="S41" s="28" t="str">
        <f>Vancouver_Canucks!$AD$87</f>
        <v>2-6-1</v>
      </c>
    </row>
    <row r="42" spans="1:19" ht="15" thickBot="1" x14ac:dyDescent="0.35">
      <c r="A42" s="27" t="s">
        <v>2</v>
      </c>
      <c r="B42" s="26">
        <f>Vegas_Golden_Knights!$D$88</f>
        <v>9</v>
      </c>
      <c r="C42" s="26">
        <f>Vegas_Golden_Knights!$I$86</f>
        <v>7</v>
      </c>
      <c r="D42" s="26">
        <f>Vegas_Golden_Knights!$J$86</f>
        <v>2</v>
      </c>
      <c r="E42" s="24">
        <f>Vegas_Golden_Knights!$L$86</f>
        <v>0</v>
      </c>
      <c r="F42" s="23">
        <f t="shared" si="12"/>
        <v>14</v>
      </c>
      <c r="G42" s="24">
        <f>C42-Vegas_Golden_Knights!$K$86</f>
        <v>5</v>
      </c>
      <c r="H42" s="24">
        <f t="shared" si="13"/>
        <v>6</v>
      </c>
      <c r="I42" s="24">
        <f>Vegas_Golden_Knights!$M$86</f>
        <v>1</v>
      </c>
      <c r="J42" s="24">
        <f>Vegas_Golden_Knights!$N$86</f>
        <v>0</v>
      </c>
      <c r="K42" s="22" t="str">
        <f>Vegas_Golden_Knights!$O$87</f>
        <v>4-1-0</v>
      </c>
      <c r="L42" s="26" t="str">
        <f>Vegas_Golden_Knights!$R$87</f>
        <v>3-1-0</v>
      </c>
      <c r="M42" s="26" t="str">
        <f>Vegas_Golden_Knights!$U$87</f>
        <v>4-1-0</v>
      </c>
      <c r="N42" s="26" t="str">
        <f>Vegas_Golden_Knights!$X$87</f>
        <v>6-2-0</v>
      </c>
      <c r="O42" s="25">
        <f>Vegas_Golden_Knights!$E$87</f>
        <v>36</v>
      </c>
      <c r="P42" s="24">
        <f>Vegas_Golden_Knights!$F$87</f>
        <v>22</v>
      </c>
      <c r="Q42" s="23">
        <f t="shared" si="14"/>
        <v>14</v>
      </c>
      <c r="R42" s="22" t="str">
        <f>Vegas_Golden_Knights!$AA$87</f>
        <v>W2</v>
      </c>
      <c r="S42" s="21" t="str">
        <f>Vegas_Golden_Knights!$AD$87</f>
        <v>7-2-0</v>
      </c>
    </row>
    <row r="43" spans="1:19" ht="15" thickTop="1" x14ac:dyDescent="0.3"/>
    <row r="44" spans="1:19" x14ac:dyDescent="0.3">
      <c r="A44" s="1" t="s">
        <v>51</v>
      </c>
      <c r="B44" s="45" t="s">
        <v>50</v>
      </c>
      <c r="C44" s="45"/>
      <c r="D44" s="45"/>
    </row>
    <row r="45" spans="1:19" x14ac:dyDescent="0.3">
      <c r="A45" s="1" t="s">
        <v>49</v>
      </c>
      <c r="B45" s="45" t="s">
        <v>48</v>
      </c>
      <c r="C45" s="45"/>
      <c r="D45" s="45"/>
    </row>
    <row r="46" spans="1:19" x14ac:dyDescent="0.3">
      <c r="A46" s="1" t="s">
        <v>47</v>
      </c>
      <c r="B46" s="45" t="s">
        <v>46</v>
      </c>
      <c r="C46" s="45"/>
      <c r="D46" s="45"/>
    </row>
    <row r="47" spans="1:19" x14ac:dyDescent="0.3">
      <c r="A47" s="1" t="s">
        <v>45</v>
      </c>
      <c r="B47" s="45" t="s">
        <v>44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29</v>
      </c>
      <c r="AN1" s="1" t="s">
        <v>27</v>
      </c>
      <c r="AO1" s="1" t="s">
        <v>27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</v>
      </c>
      <c r="E2" s="1">
        <v>4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25</v>
      </c>
      <c r="AO2" s="1" t="s">
        <v>20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19</v>
      </c>
      <c r="E3" s="1">
        <v>3</v>
      </c>
      <c r="F3" s="1">
        <v>2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24</v>
      </c>
      <c r="AO3" s="1" t="s">
        <v>18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20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46304</v>
      </c>
      <c r="B5" s="1">
        <v>4</v>
      </c>
      <c r="C5" s="1" t="s">
        <v>59</v>
      </c>
      <c r="D5" s="1" t="s">
        <v>0</v>
      </c>
      <c r="E5" s="1">
        <v>5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27</v>
      </c>
      <c r="E6" s="1">
        <v>4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27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46311</v>
      </c>
      <c r="B8" s="1">
        <v>7</v>
      </c>
      <c r="C8" s="1" t="s">
        <v>60</v>
      </c>
      <c r="D8" s="1" t="s">
        <v>29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46314</v>
      </c>
      <c r="B9" s="1">
        <v>8</v>
      </c>
      <c r="C9" s="1" t="s">
        <v>59</v>
      </c>
      <c r="D9" s="1" t="s">
        <v>12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46327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59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60</v>
      </c>
      <c r="D22" s="1" t="s">
        <v>27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59</v>
      </c>
      <c r="D25" s="1" t="s">
        <v>89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60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60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46369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60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60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46392</v>
      </c>
      <c r="B45" s="1">
        <v>44</v>
      </c>
      <c r="C45" s="1" t="s">
        <v>60</v>
      </c>
      <c r="D45" s="1" t="s">
        <v>17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46395</v>
      </c>
      <c r="B46" s="1">
        <v>45</v>
      </c>
      <c r="C46" s="1" t="s">
        <v>60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46397</v>
      </c>
      <c r="B47" s="1">
        <v>46</v>
      </c>
      <c r="C47" s="1" t="s">
        <v>60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60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59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46427</v>
      </c>
      <c r="B58" s="1">
        <v>57</v>
      </c>
      <c r="C58" s="1" t="s">
        <v>60</v>
      </c>
      <c r="D58" s="1" t="s">
        <v>21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46429</v>
      </c>
      <c r="B59" s="1">
        <v>58</v>
      </c>
      <c r="C59" s="1" t="s">
        <v>60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59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46434</v>
      </c>
      <c r="B62" s="1">
        <v>61</v>
      </c>
      <c r="C62" s="1" t="s">
        <v>59</v>
      </c>
      <c r="D62" s="1" t="s">
        <v>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46438</v>
      </c>
      <c r="B64" s="1">
        <v>63</v>
      </c>
      <c r="C64" s="1" t="s">
        <v>59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46447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59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60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46470</v>
      </c>
      <c r="B78" s="1">
        <v>77</v>
      </c>
      <c r="C78" s="1" t="s">
        <v>59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60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3</v>
      </c>
      <c r="Q86" s="1">
        <f t="shared" si="100"/>
        <v>0</v>
      </c>
      <c r="R86" s="1">
        <f t="shared" si="100"/>
        <v>3</v>
      </c>
      <c r="S86" s="1">
        <f t="shared" si="100"/>
        <v>0</v>
      </c>
      <c r="T86" s="1">
        <f t="shared" si="100"/>
        <v>0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1-3-0</v>
      </c>
      <c r="R87" s="1" t="str">
        <f>IF(R86="","0-0-0",CONCATENATE(R86,"-",S86,"-",T86))</f>
        <v>3-0-0</v>
      </c>
      <c r="U87" s="1" t="str">
        <f>IF(U86="","0-0-0",CONCATENATE(U86,"-",V86,"-",W86))</f>
        <v>2-2-0</v>
      </c>
      <c r="X87" s="1" t="str">
        <f>IF(X86="","0-0-0",CONCATENATE(X86,"-",Y86,"-",Z86))</f>
        <v>3-2-0</v>
      </c>
      <c r="AA87" s="1" t="str">
        <f>IF(AA86="","0-0",CONCATENATE(AA86,AB86))</f>
        <v>L2</v>
      </c>
      <c r="AD87" s="1" t="str">
        <f>IF(AD86="","0-0-0",CONCATENATE(AD86,"-",AE86,"-",AF86))</f>
        <v>4-3-0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E86:F86"/>
    <mergeCell ref="O88:P88"/>
    <mergeCell ref="R88:S88"/>
    <mergeCell ref="I87:J87"/>
    <mergeCell ref="U88:V88"/>
    <mergeCell ref="X1:Z1"/>
    <mergeCell ref="U1:W1"/>
    <mergeCell ref="R1:T1"/>
    <mergeCell ref="O1:Q1"/>
    <mergeCell ref="AA88:AB88"/>
    <mergeCell ref="X88:Y88"/>
  </mergeCells>
  <dataValidations count="3">
    <dataValidation type="list" allowBlank="1" showInputMessage="1" showErrorMessage="1" sqref="G2:H85" xr:uid="{00000000-0002-0000-BB00-000002000000}">
      <formula1>$AK$1:$AK$2</formula1>
    </dataValidation>
    <dataValidation type="list" allowBlank="1" showInputMessage="1" showErrorMessage="1" sqref="C2:C85" xr:uid="{00000000-0002-0000-BB00-000000000000}">
      <formula1>$AL$1:$AL$2</formula1>
    </dataValidation>
    <dataValidation type="list" allowBlank="1" showInputMessage="1" showErrorMessage="1" sqref="D2:D85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28</v>
      </c>
      <c r="AO1" s="1" t="s">
        <v>28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12</v>
      </c>
      <c r="E2" s="1">
        <v>3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28</v>
      </c>
      <c r="AN2" s="1" t="s">
        <v>26</v>
      </c>
      <c r="AO2" s="1" t="s">
        <v>21</v>
      </c>
    </row>
    <row r="3" spans="1:41" x14ac:dyDescent="0.3">
      <c r="A3" s="42">
        <v>46297</v>
      </c>
      <c r="B3" s="1">
        <v>2</v>
      </c>
      <c r="C3" s="1" t="s">
        <v>59</v>
      </c>
      <c r="D3" s="1" t="s">
        <v>0</v>
      </c>
      <c r="E3" s="1">
        <v>4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17</v>
      </c>
      <c r="E4" s="1">
        <v>1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46300</v>
      </c>
      <c r="B5" s="1">
        <v>4</v>
      </c>
      <c r="C5" s="1" t="s">
        <v>60</v>
      </c>
      <c r="D5" s="1" t="s">
        <v>11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89</v>
      </c>
      <c r="E6" s="1">
        <v>6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10</v>
      </c>
      <c r="E7" s="1">
        <v>5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</v>
      </c>
      <c r="E8" s="1">
        <v>6</v>
      </c>
      <c r="F8" s="1">
        <v>3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31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46355</v>
      </c>
      <c r="B27" s="1">
        <v>26</v>
      </c>
      <c r="C27" s="1" t="s">
        <v>60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60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19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59</v>
      </c>
      <c r="D31" s="1" t="s">
        <v>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59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60</v>
      </c>
      <c r="D44" s="1" t="s">
        <v>28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46393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60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46407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46409</v>
      </c>
      <c r="B52" s="1">
        <v>51</v>
      </c>
      <c r="C52" s="1" t="s">
        <v>59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89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46415</v>
      </c>
      <c r="B55" s="1">
        <v>54</v>
      </c>
      <c r="C55" s="1" t="s">
        <v>59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60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46428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59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59</v>
      </c>
      <c r="D62" s="1" t="s">
        <v>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12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46450</v>
      </c>
      <c r="B67" s="1">
        <v>66</v>
      </c>
      <c r="C67" s="1" t="s">
        <v>59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59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59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46482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46484</v>
      </c>
      <c r="B83" s="1">
        <v>82</v>
      </c>
      <c r="C83" s="1" t="s">
        <v>59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19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4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30</v>
      </c>
      <c r="F87" s="1">
        <f>SUM(F2:F85)</f>
        <v>18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3-1-0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W4</v>
      </c>
      <c r="AD87" s="1" t="str">
        <f>IF(AD86="","0-0-0",CONCATENATE(AD86,"-",AE86,"-",AF86))</f>
        <v>6-2-0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D00-000002000000}">
      <formula1>$AK$1:$AK$2</formula1>
    </dataValidation>
    <dataValidation type="list" allowBlank="1" showInputMessage="1" showErrorMessage="1" sqref="C2:C85" xr:uid="{00000000-0002-0000-BD00-000000000000}">
      <formula1>$AL$1:$AL$2</formula1>
    </dataValidation>
    <dataValidation type="list" allowBlank="1" showInputMessage="1" showErrorMessage="1" sqref="D2:D85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23</v>
      </c>
      <c r="E2" s="1">
        <v>3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26</v>
      </c>
      <c r="AO2" s="1" t="s">
        <v>21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25</v>
      </c>
      <c r="E3" s="1">
        <v>4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27</v>
      </c>
      <c r="AN3" s="1" t="s">
        <v>23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17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22</v>
      </c>
      <c r="E5" s="1">
        <v>0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89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0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19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16</v>
      </c>
      <c r="E8" s="1">
        <v>3</v>
      </c>
      <c r="F8" s="1">
        <v>4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4</v>
      </c>
      <c r="E9" s="1">
        <v>5</v>
      </c>
      <c r="F9" s="1">
        <v>4</v>
      </c>
      <c r="G9" s="1" t="s">
        <v>78</v>
      </c>
      <c r="H9" s="1" t="s">
        <v>77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46332</v>
      </c>
      <c r="B17" s="1">
        <v>16</v>
      </c>
      <c r="C17" s="1" t="s">
        <v>60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46334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46337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59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59</v>
      </c>
      <c r="D41" s="1" t="s">
        <v>19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59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46026</v>
      </c>
      <c r="B43" s="1">
        <v>42</v>
      </c>
      <c r="C43" s="1" t="s">
        <v>60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29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46030</v>
      </c>
      <c r="B45" s="1">
        <v>44</v>
      </c>
      <c r="C45" s="1" t="s">
        <v>59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60</v>
      </c>
      <c r="D50" s="1" t="s">
        <v>16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46056</v>
      </c>
      <c r="B57" s="1">
        <v>56</v>
      </c>
      <c r="C57" s="1" t="s">
        <v>60</v>
      </c>
      <c r="D57" s="1" t="s">
        <v>13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46079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60</v>
      </c>
      <c r="D66" s="1" t="s">
        <v>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46119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2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2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30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1-1-1</v>
      </c>
      <c r="U87" s="1" t="str">
        <f>IF(U86="","0-0-0",CONCATENATE(U86,"-",V86,"-",W86))</f>
        <v>2-0-1</v>
      </c>
      <c r="X87" s="1" t="str">
        <f>IF(X86="","0-0-0",CONCATENATE(X86,"-",Y86,"-",Z86))</f>
        <v>2-1-1</v>
      </c>
      <c r="AA87" s="1" t="str">
        <f>IF(AA86="","0-0",CONCATENATE(AA86,AB86))</f>
        <v>W1</v>
      </c>
      <c r="AD87" s="1" t="str">
        <f>IF(AD86="","0-0-0",CONCATENATE(AD86,"-",AE86,"-",AF86))</f>
        <v>4-3-1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E00-000002000000}">
      <formula1>$AK$1:$AK$2</formula1>
    </dataValidation>
    <dataValidation type="list" allowBlank="1" showInputMessage="1" showErrorMessage="1" sqref="C2:C85" xr:uid="{00000000-0002-0000-BE00-000001000000}">
      <formula1>$AL$1:$AL$2</formula1>
    </dataValidation>
    <dataValidation type="list" allowBlank="1" showInputMessage="1" showErrorMessage="1" sqref="D2:D85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7</v>
      </c>
      <c r="E2" s="1">
        <v>1</v>
      </c>
      <c r="F2" s="1">
        <v>6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25</v>
      </c>
      <c r="AO2" s="1" t="s">
        <v>20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3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18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7</v>
      </c>
      <c r="E4" s="1">
        <v>1</v>
      </c>
      <c r="F4" s="1">
        <v>6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0</v>
      </c>
      <c r="V4" s="1">
        <f t="shared" si="15"/>
        <v>3</v>
      </c>
      <c r="W4" s="1">
        <f t="shared" si="16"/>
        <v>0</v>
      </c>
      <c r="X4" s="1">
        <f t="shared" si="17"/>
        <v>0</v>
      </c>
      <c r="Y4" s="1">
        <f t="shared" si="18"/>
        <v>3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24</v>
      </c>
      <c r="E5" s="1">
        <v>3</v>
      </c>
      <c r="F5" s="1">
        <v>7</v>
      </c>
      <c r="G5" s="1" t="s">
        <v>77</v>
      </c>
      <c r="H5" s="1" t="s">
        <v>77</v>
      </c>
      <c r="I5" s="1">
        <f t="shared" si="2"/>
        <v>0</v>
      </c>
      <c r="J5" s="1">
        <f t="shared" si="3"/>
        <v>4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0</v>
      </c>
      <c r="V5" s="1">
        <f t="shared" si="15"/>
        <v>3</v>
      </c>
      <c r="W5" s="1">
        <f t="shared" si="16"/>
        <v>0</v>
      </c>
      <c r="X5" s="1">
        <f t="shared" si="17"/>
        <v>0</v>
      </c>
      <c r="Y5" s="1">
        <f t="shared" si="18"/>
        <v>4</v>
      </c>
      <c r="Z5" s="1">
        <f t="shared" si="19"/>
        <v>0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4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31</v>
      </c>
      <c r="E6" s="1">
        <v>2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5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0</v>
      </c>
      <c r="V6" s="1">
        <f t="shared" si="15"/>
        <v>4</v>
      </c>
      <c r="W6" s="1">
        <f t="shared" si="16"/>
        <v>0</v>
      </c>
      <c r="X6" s="1">
        <f t="shared" si="17"/>
        <v>0</v>
      </c>
      <c r="Y6" s="1">
        <f t="shared" si="18"/>
        <v>5</v>
      </c>
      <c r="Z6" s="1">
        <f t="shared" si="19"/>
        <v>0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5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31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4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1</v>
      </c>
      <c r="J8" s="1">
        <f t="shared" si="3"/>
        <v>6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5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46313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46321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46323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46325</v>
      </c>
      <c r="B14" s="1">
        <v>13</v>
      </c>
      <c r="C14" s="1" t="s">
        <v>60</v>
      </c>
      <c r="D14" s="1" t="s">
        <v>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46332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59</v>
      </c>
      <c r="D21" s="1" t="s">
        <v>18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21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46025</v>
      </c>
      <c r="B44" s="1">
        <v>43</v>
      </c>
      <c r="C44" s="1" t="s">
        <v>59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14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46054</v>
      </c>
      <c r="B57" s="1">
        <v>56</v>
      </c>
      <c r="C57" s="1" t="s">
        <v>60</v>
      </c>
      <c r="D57" s="1" t="s">
        <v>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60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59</v>
      </c>
      <c r="D69" s="1" t="s">
        <v>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59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60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59</v>
      </c>
      <c r="D75" s="1" t="s">
        <v>17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60</v>
      </c>
      <c r="D76" s="1" t="s">
        <v>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46117</v>
      </c>
      <c r="B83" s="1">
        <v>82</v>
      </c>
      <c r="C83" s="1" t="s">
        <v>59</v>
      </c>
      <c r="D83" s="1" t="s">
        <v>20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24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1</v>
      </c>
      <c r="J86" s="1">
        <f t="shared" si="99"/>
        <v>6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3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5</v>
      </c>
      <c r="W86" s="1">
        <f t="shared" si="100"/>
        <v>0</v>
      </c>
      <c r="X86" s="1">
        <f t="shared" si="100"/>
        <v>1</v>
      </c>
      <c r="Y86" s="1">
        <f t="shared" si="100"/>
        <v>6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1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14</v>
      </c>
      <c r="F87" s="1">
        <f>SUM(F2:F85)</f>
        <v>35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0-3-0</v>
      </c>
      <c r="R87" s="1" t="str">
        <f>IF(R86="","0-0-0",CONCATENATE(R86,"-",S86,"-",T86))</f>
        <v>1-3-0</v>
      </c>
      <c r="U87" s="1" t="str">
        <f>IF(U86="","0-0-0",CONCATENATE(U86,"-",V86,"-",W86))</f>
        <v>1-5-0</v>
      </c>
      <c r="X87" s="1" t="str">
        <f>IF(X86="","0-0-0",CONCATENATE(X86,"-",Y86,"-",Z86))</f>
        <v>1-6-0</v>
      </c>
      <c r="AA87" s="1" t="str">
        <f>IF(AA86="","0-0",CONCATENATE(AA86,AB86))</f>
        <v>L1</v>
      </c>
      <c r="AD87" s="1" t="str">
        <f>IF(AD86="","0-0-0",CONCATENATE(AD86,"-",AE86,"-",AF86))</f>
        <v>1-6-0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F00-000002000000}">
      <formula1>$AK$1:$AK$2</formula1>
    </dataValidation>
    <dataValidation type="list" allowBlank="1" showInputMessage="1" showErrorMessage="1" sqref="C2:C85" xr:uid="{00000000-0002-0000-BF00-000000000000}">
      <formula1>$AL$1:$AL$2</formula1>
    </dataValidation>
    <dataValidation type="list" allowBlank="1" showInputMessage="1" showErrorMessage="1" sqref="D2:D85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23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19</v>
      </c>
      <c r="E2" s="1">
        <v>0</v>
      </c>
      <c r="F2" s="1">
        <v>1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1</v>
      </c>
      <c r="E3" s="1">
        <v>2</v>
      </c>
      <c r="F3" s="1">
        <v>5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23</v>
      </c>
      <c r="AO3" s="1" t="s">
        <v>13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10</v>
      </c>
      <c r="E4" s="1">
        <v>3</v>
      </c>
      <c r="F4" s="1">
        <v>2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16</v>
      </c>
      <c r="E5" s="1">
        <v>6</v>
      </c>
      <c r="F5" s="1">
        <v>4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1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1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25</v>
      </c>
      <c r="AN5" s="1" t="s">
        <v>19</v>
      </c>
      <c r="AO5" s="1" t="s">
        <v>10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3</v>
      </c>
      <c r="E6" s="1">
        <v>7</v>
      </c>
      <c r="F6" s="1">
        <v>2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24</v>
      </c>
      <c r="AN6" s="1" t="s">
        <v>16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25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23</v>
      </c>
      <c r="AN7" s="1" t="s">
        <v>14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10</v>
      </c>
      <c r="E8" s="1">
        <v>4</v>
      </c>
      <c r="F8" s="1">
        <v>1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5</v>
      </c>
      <c r="AC8" s="1" t="str">
        <f t="shared" si="1"/>
        <v>W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22</v>
      </c>
      <c r="AN8" s="1" t="s">
        <v>13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1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1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4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6</v>
      </c>
      <c r="AC9" s="1" t="str">
        <f t="shared" si="1"/>
        <v>W</v>
      </c>
      <c r="AD9" s="1">
        <f t="shared" si="21"/>
        <v>6</v>
      </c>
      <c r="AE9" s="1">
        <f t="shared" si="22"/>
        <v>1</v>
      </c>
      <c r="AF9" s="1">
        <f t="shared" si="23"/>
        <v>1</v>
      </c>
      <c r="AG9" s="43"/>
      <c r="AM9" s="1" t="s">
        <v>21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46313</v>
      </c>
      <c r="B11" s="1">
        <v>10</v>
      </c>
      <c r="C11" s="1" t="s">
        <v>59</v>
      </c>
      <c r="D11" s="1" t="s">
        <v>27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12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59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46364</v>
      </c>
      <c r="B31" s="1">
        <v>30</v>
      </c>
      <c r="C31" s="1" t="s">
        <v>60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60</v>
      </c>
      <c r="D33" s="1" t="s">
        <v>29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46377</v>
      </c>
      <c r="B37" s="1">
        <v>36</v>
      </c>
      <c r="C37" s="1" t="s">
        <v>59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60</v>
      </c>
      <c r="D38" s="1" t="s">
        <v>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46384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60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60</v>
      </c>
      <c r="D44" s="1" t="s">
        <v>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46402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46404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60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46436</v>
      </c>
      <c r="B60" s="1">
        <v>59</v>
      </c>
      <c r="C60" s="1" t="s">
        <v>59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46437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46439</v>
      </c>
      <c r="B62" s="1">
        <v>61</v>
      </c>
      <c r="C62" s="1" t="s">
        <v>60</v>
      </c>
      <c r="D62" s="1" t="s">
        <v>12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59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60</v>
      </c>
      <c r="D64" s="1" t="s">
        <v>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60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59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27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14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22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60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1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1</v>
      </c>
      <c r="R86" s="1">
        <f t="shared" si="100"/>
        <v>4</v>
      </c>
      <c r="S86" s="1">
        <f t="shared" si="100"/>
        <v>0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6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31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4-0-0</v>
      </c>
      <c r="U87" s="1" t="str">
        <f>IF(U86="","0-0-0",CONCATENATE(U86,"-",V86,"-",W86))</f>
        <v>3-1-0</v>
      </c>
      <c r="X87" s="1" t="str">
        <f>IF(X86="","0-0-0",CONCATENATE(X86,"-",Y86,"-",Z86))</f>
        <v>4-1-1</v>
      </c>
      <c r="AA87" s="1" t="str">
        <f>IF(AA86="","0-0",CONCATENATE(AA86,AB86))</f>
        <v>W6</v>
      </c>
      <c r="AD87" s="1" t="str">
        <f>IF(AD86="","0-0-0",CONCATENATE(AD86,"-",AE86,"-",AF86))</f>
        <v>6-1-1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000-000002000000}">
      <formula1>$AK$1:$AK$2</formula1>
    </dataValidation>
    <dataValidation type="list" allowBlank="1" showInputMessage="1" showErrorMessage="1" sqref="C2:C85" xr:uid="{00000000-0002-0000-C000-000001000000}">
      <formula1>$AL$1:$AL$2</formula1>
    </dataValidation>
    <dataValidation type="list" allowBlank="1" showInputMessage="1" showErrorMessage="1" sqref="D2:D85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24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</v>
      </c>
      <c r="E2" s="1">
        <v>2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89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2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24</v>
      </c>
      <c r="AO3" s="1" t="s">
        <v>17</v>
      </c>
    </row>
    <row r="4" spans="1:41" x14ac:dyDescent="0.3">
      <c r="A4" s="42">
        <v>46298</v>
      </c>
      <c r="B4" s="1">
        <v>3</v>
      </c>
      <c r="C4" s="1" t="s">
        <v>59</v>
      </c>
      <c r="D4" s="1" t="s">
        <v>28</v>
      </c>
      <c r="E4" s="1">
        <v>3</v>
      </c>
      <c r="F4" s="1">
        <v>4</v>
      </c>
      <c r="G4" s="1" t="s">
        <v>77</v>
      </c>
      <c r="H4" s="1" t="s">
        <v>77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3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6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3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13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1</v>
      </c>
      <c r="J6" s="1">
        <f t="shared" si="3"/>
        <v>4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4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89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26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1</v>
      </c>
      <c r="J7" s="1">
        <f t="shared" si="3"/>
        <v>5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4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9</v>
      </c>
      <c r="E8" s="1">
        <v>5</v>
      </c>
      <c r="F8" s="1">
        <v>3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0</v>
      </c>
      <c r="E9" s="1">
        <v>4</v>
      </c>
      <c r="F9" s="1">
        <v>3</v>
      </c>
      <c r="G9" s="1" t="s">
        <v>78</v>
      </c>
      <c r="H9" s="1" t="s">
        <v>77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8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46318</v>
      </c>
      <c r="B11" s="1">
        <v>10</v>
      </c>
      <c r="C11" s="1" t="s">
        <v>60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59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46348</v>
      </c>
      <c r="B25" s="1">
        <v>24</v>
      </c>
      <c r="C25" s="1" t="s">
        <v>59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46355</v>
      </c>
      <c r="B28" s="1">
        <v>27</v>
      </c>
      <c r="C28" s="1" t="s">
        <v>60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46360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60</v>
      </c>
      <c r="D35" s="1" t="s">
        <v>89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46388</v>
      </c>
      <c r="B40" s="1">
        <v>39</v>
      </c>
      <c r="C40" s="1" t="s">
        <v>60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59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46394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46396</v>
      </c>
      <c r="B44" s="1">
        <v>43</v>
      </c>
      <c r="C44" s="1" t="s">
        <v>59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59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60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46428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46435</v>
      </c>
      <c r="B59" s="1">
        <v>58</v>
      </c>
      <c r="C59" s="1" t="s">
        <v>60</v>
      </c>
      <c r="D59" s="1" t="s">
        <v>6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46438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60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46444</v>
      </c>
      <c r="B63" s="1">
        <v>62</v>
      </c>
      <c r="C63" s="1" t="s">
        <v>60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46447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46449</v>
      </c>
      <c r="B66" s="1">
        <v>65</v>
      </c>
      <c r="C66" s="1" t="s">
        <v>59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46452</v>
      </c>
      <c r="B68" s="1">
        <v>67</v>
      </c>
      <c r="C68" s="1" t="s">
        <v>59</v>
      </c>
      <c r="D68" s="1" t="s">
        <v>20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46454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46456</v>
      </c>
      <c r="B70" s="1">
        <v>69</v>
      </c>
      <c r="C70" s="1" t="s">
        <v>60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89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46472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59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15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5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4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5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21</v>
      </c>
      <c r="F87" s="1">
        <f>SUM(F2:F85)</f>
        <v>32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0-4-0</v>
      </c>
      <c r="U87" s="1" t="str">
        <f>IF(U86="","0-0-0",CONCATENATE(U86,"-",V86,"-",W86))</f>
        <v>2-1-0</v>
      </c>
      <c r="X87" s="1" t="str">
        <f>IF(X86="","0-0-0",CONCATENATE(X86,"-",Y86,"-",Z86))</f>
        <v>2-2-0</v>
      </c>
      <c r="AA87" s="1" t="str">
        <f>IF(AA86="","0-0",CONCATENATE(AA86,AB86))</f>
        <v>W2</v>
      </c>
      <c r="AD87" s="1" t="str">
        <f>IF(AD86="","0-0-0",CONCATENATE(AD86,"-",AE86,"-",AF86))</f>
        <v>3-5-0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100-000002000000}">
      <formula1>$AK$1:$AK$2</formula1>
    </dataValidation>
    <dataValidation type="list" allowBlank="1" showInputMessage="1" showErrorMessage="1" sqref="C2:C85" xr:uid="{00000000-0002-0000-C100-000000000000}">
      <formula1>$AL$1:$AL$2</formula1>
    </dataValidation>
    <dataValidation type="list" allowBlank="1" showInputMessage="1" showErrorMessage="1" sqref="D2:D85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18</v>
      </c>
      <c r="E2" s="1">
        <v>8</v>
      </c>
      <c r="F2" s="1">
        <v>4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22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6</v>
      </c>
      <c r="E3" s="1">
        <v>6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46302</v>
      </c>
      <c r="B4" s="1">
        <v>3</v>
      </c>
      <c r="C4" s="1" t="s">
        <v>59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22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27</v>
      </c>
      <c r="E5" s="1">
        <v>7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4</v>
      </c>
      <c r="E6" s="1">
        <v>3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22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22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1</v>
      </c>
      <c r="X8" s="1">
        <f t="shared" si="17"/>
        <v>4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3">
      <c r="A9" s="42">
        <v>46311</v>
      </c>
      <c r="B9" s="1">
        <v>8</v>
      </c>
      <c r="C9" s="1" t="s">
        <v>60</v>
      </c>
      <c r="D9" s="1" t="s">
        <v>9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1</v>
      </c>
      <c r="X9" s="1">
        <f t="shared" si="17"/>
        <v>4</v>
      </c>
      <c r="Y9" s="1">
        <f t="shared" si="18"/>
        <v>1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46318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14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21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12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59</v>
      </c>
      <c r="D31" s="1" t="s">
        <v>13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46370</v>
      </c>
      <c r="B34" s="1">
        <v>33</v>
      </c>
      <c r="C34" s="1" t="s">
        <v>60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60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60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60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59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46389</v>
      </c>
      <c r="B41" s="1">
        <v>40</v>
      </c>
      <c r="C41" s="1" t="s">
        <v>59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46391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46393</v>
      </c>
      <c r="B43" s="1">
        <v>42</v>
      </c>
      <c r="C43" s="1" t="s">
        <v>60</v>
      </c>
      <c r="D43" s="1" t="s">
        <v>11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46395</v>
      </c>
      <c r="B44" s="1">
        <v>43</v>
      </c>
      <c r="C44" s="1" t="s">
        <v>60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46397</v>
      </c>
      <c r="B45" s="1">
        <v>44</v>
      </c>
      <c r="C45" s="1" t="s">
        <v>60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59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46401</v>
      </c>
      <c r="B47" s="1">
        <v>46</v>
      </c>
      <c r="C47" s="1" t="s">
        <v>59</v>
      </c>
      <c r="D47" s="1" t="s">
        <v>28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22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60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46430</v>
      </c>
      <c r="B57" s="1">
        <v>56</v>
      </c>
      <c r="C57" s="1" t="s">
        <v>59</v>
      </c>
      <c r="D57" s="1" t="s">
        <v>19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46438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46440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46445</v>
      </c>
      <c r="B64" s="1">
        <v>63</v>
      </c>
      <c r="C64" s="1" t="s">
        <v>60</v>
      </c>
      <c r="D64" s="1" t="s">
        <v>19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46446</v>
      </c>
      <c r="B65" s="1">
        <v>64</v>
      </c>
      <c r="C65" s="1" t="s">
        <v>59</v>
      </c>
      <c r="D65" s="1" t="s">
        <v>25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46448</v>
      </c>
      <c r="B66" s="1">
        <v>65</v>
      </c>
      <c r="C66" s="1" t="s">
        <v>59</v>
      </c>
      <c r="D66" s="1" t="s">
        <v>15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46451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60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46463</v>
      </c>
      <c r="B73" s="1">
        <v>72</v>
      </c>
      <c r="C73" s="1" t="s">
        <v>60</v>
      </c>
      <c r="D73" s="1" t="s">
        <v>17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46465</v>
      </c>
      <c r="B74" s="1">
        <v>73</v>
      </c>
      <c r="C74" s="1" t="s">
        <v>59</v>
      </c>
      <c r="D74" s="1" t="s">
        <v>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60</v>
      </c>
      <c r="D76" s="1" t="s">
        <v>89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59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1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1</v>
      </c>
      <c r="X86" s="1">
        <f t="shared" si="100"/>
        <v>4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24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3-1-1</v>
      </c>
      <c r="R87" s="1" t="str">
        <f>IF(R86="","0-0-0",CONCATENATE(R86,"-",S86,"-",T86))</f>
        <v>2-1-0</v>
      </c>
      <c r="U87" s="1" t="str">
        <f>IF(U86="","0-0-0",CONCATENATE(U86,"-",V86,"-",W86))</f>
        <v>2-1-1</v>
      </c>
      <c r="X87" s="1" t="str">
        <f>IF(X86="","0-0-0",CONCATENATE(X86,"-",Y86,"-",Z86))</f>
        <v>4-1-1</v>
      </c>
      <c r="AA87" s="1" t="str">
        <f>IF(AA86="","0-0",CONCATENATE(AA86,AB86))</f>
        <v>W1</v>
      </c>
      <c r="AD87" s="1" t="str">
        <f>IF(AD86="","0-0-0",CONCATENATE(AD86,"-",AE86,"-",AF86))</f>
        <v>5-2-1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200-000002000000}">
      <formula1>$AK$1:$AK$2</formula1>
    </dataValidation>
    <dataValidation type="list" allowBlank="1" showInputMessage="1" showErrorMessage="1" sqref="C2:C85" xr:uid="{00000000-0002-0000-C200-000001000000}">
      <formula1>$AL$1:$AL$2</formula1>
    </dataValidation>
    <dataValidation type="list" allowBlank="1" showInputMessage="1" showErrorMessage="1" sqref="D2:D85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28</v>
      </c>
      <c r="E2" s="1">
        <v>6</v>
      </c>
      <c r="F2" s="1">
        <v>3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14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89</v>
      </c>
      <c r="E3" s="1">
        <v>1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46304</v>
      </c>
      <c r="B4" s="1">
        <v>3</v>
      </c>
      <c r="C4" s="1" t="s">
        <v>60</v>
      </c>
      <c r="D4" s="1" t="s">
        <v>9</v>
      </c>
      <c r="E4" s="1">
        <v>3</v>
      </c>
      <c r="F4" s="1">
        <v>2</v>
      </c>
      <c r="G4" s="1" t="s">
        <v>78</v>
      </c>
      <c r="H4" s="1" t="s">
        <v>78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2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6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19</v>
      </c>
      <c r="E6" s="1">
        <v>3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12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14</v>
      </c>
      <c r="AO7" s="1" t="s">
        <v>1</v>
      </c>
    </row>
    <row r="8" spans="1:41" x14ac:dyDescent="0.3">
      <c r="A8" s="42">
        <v>46313</v>
      </c>
      <c r="B8" s="1">
        <v>7</v>
      </c>
      <c r="C8" s="1" t="s">
        <v>59</v>
      </c>
      <c r="D8" s="1" t="s">
        <v>17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22</v>
      </c>
      <c r="AN8" s="1" t="s">
        <v>13</v>
      </c>
    </row>
    <row r="9" spans="1:41" x14ac:dyDescent="0.3">
      <c r="A9" s="42">
        <v>46315</v>
      </c>
      <c r="B9" s="1">
        <v>8</v>
      </c>
      <c r="C9" s="1" t="s">
        <v>60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12</v>
      </c>
    </row>
    <row r="10" spans="1:41" x14ac:dyDescent="0.3">
      <c r="A10" s="42">
        <v>46319</v>
      </c>
      <c r="B10" s="1">
        <v>9</v>
      </c>
      <c r="C10" s="1" t="s">
        <v>60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46322</v>
      </c>
      <c r="B11" s="1">
        <v>10</v>
      </c>
      <c r="C11" s="1" t="s">
        <v>59</v>
      </c>
      <c r="D11" s="1" t="s">
        <v>10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46324</v>
      </c>
      <c r="B12" s="1">
        <v>11</v>
      </c>
      <c r="C12" s="1" t="s">
        <v>59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46326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46329</v>
      </c>
      <c r="B14" s="1">
        <v>13</v>
      </c>
      <c r="C14" s="1" t="s">
        <v>60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46331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46332</v>
      </c>
      <c r="B16" s="1">
        <v>15</v>
      </c>
      <c r="C16" s="1" t="s">
        <v>59</v>
      </c>
      <c r="D16" s="1" t="s">
        <v>28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25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46351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46353</v>
      </c>
      <c r="B25" s="1">
        <v>24</v>
      </c>
      <c r="C25" s="1" t="s">
        <v>60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46356</v>
      </c>
      <c r="B26" s="1">
        <v>25</v>
      </c>
      <c r="C26" s="1" t="s">
        <v>59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46366</v>
      </c>
      <c r="B30" s="1">
        <v>29</v>
      </c>
      <c r="C30" s="1" t="s">
        <v>60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60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60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46377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46382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46383</v>
      </c>
      <c r="B39" s="1">
        <v>38</v>
      </c>
      <c r="C39" s="1" t="s">
        <v>60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59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46024</v>
      </c>
      <c r="B42" s="1">
        <v>41</v>
      </c>
      <c r="C42" s="1" t="s">
        <v>60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46025</v>
      </c>
      <c r="B43" s="1">
        <v>42</v>
      </c>
      <c r="C43" s="1" t="s">
        <v>59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60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60</v>
      </c>
      <c r="D51" s="1" t="s">
        <v>27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60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59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59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46062</v>
      </c>
      <c r="B58" s="1">
        <v>57</v>
      </c>
      <c r="C58" s="1" t="s">
        <v>59</v>
      </c>
      <c r="D58" s="1" t="s">
        <v>11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46064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59</v>
      </c>
      <c r="D62" s="1" t="s">
        <v>89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46071</v>
      </c>
      <c r="B63" s="1">
        <v>62</v>
      </c>
      <c r="C63" s="1" t="s">
        <v>59</v>
      </c>
      <c r="D63" s="1" t="s">
        <v>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46073</v>
      </c>
      <c r="B64" s="1">
        <v>63</v>
      </c>
      <c r="C64" s="1" t="s">
        <v>60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46075</v>
      </c>
      <c r="B65" s="1">
        <v>64</v>
      </c>
      <c r="C65" s="1" t="s">
        <v>60</v>
      </c>
      <c r="D65" s="1" t="s">
        <v>13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46082</v>
      </c>
      <c r="B68" s="1">
        <v>67</v>
      </c>
      <c r="C68" s="1" t="s">
        <v>60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46084</v>
      </c>
      <c r="B69" s="1">
        <v>68</v>
      </c>
      <c r="C69" s="1" t="s">
        <v>59</v>
      </c>
      <c r="D69" s="1" t="s">
        <v>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59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46088</v>
      </c>
      <c r="B71" s="1">
        <v>70</v>
      </c>
      <c r="C71" s="1" t="s">
        <v>59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60</v>
      </c>
      <c r="D73" s="1" t="s">
        <v>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60</v>
      </c>
      <c r="D79" s="1" t="s">
        <v>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1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0-1-0</v>
      </c>
      <c r="U87" s="1" t="str">
        <f>IF(U86="","0-0-0",CONCATENATE(U86,"-",V86,"-",W86))</f>
        <v>1-0-0</v>
      </c>
      <c r="X87" s="1" t="str">
        <f>IF(X86="","0-0-0",CONCATENATE(X86,"-",Y86,"-",Z86))</f>
        <v>2-1-0</v>
      </c>
      <c r="AA87" s="1" t="str">
        <f>IF(AA86="","0-0",CONCATENATE(AA86,AB86))</f>
        <v>L2</v>
      </c>
      <c r="AD87" s="1" t="str">
        <f>IF(AD86="","0-0-0",CONCATENATE(AD86,"-",AE86,"-",AF86))</f>
        <v>2-3-0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300-000002000000}">
      <formula1>$AK$1:$AK$2</formula1>
    </dataValidation>
    <dataValidation type="list" allowBlank="1" showInputMessage="1" showErrorMessage="1" sqref="C2:C85" xr:uid="{00000000-0002-0000-C300-000000000000}">
      <formula1>$AL$1:$AL$2</formula1>
    </dataValidation>
    <dataValidation type="list" allowBlank="1" showInputMessage="1" showErrorMessage="1" sqref="D2:D85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6</v>
      </c>
      <c r="E2" s="1">
        <v>0</v>
      </c>
      <c r="F2" s="1">
        <v>4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15</v>
      </c>
      <c r="E3" s="1">
        <v>1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17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8</v>
      </c>
      <c r="E4" s="1">
        <v>5</v>
      </c>
      <c r="F4" s="1">
        <v>0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28</v>
      </c>
      <c r="E5" s="1">
        <v>4</v>
      </c>
      <c r="F5" s="1">
        <v>0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9</v>
      </c>
      <c r="E6" s="1">
        <v>1</v>
      </c>
      <c r="F6" s="1">
        <v>2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24</v>
      </c>
      <c r="E7" s="1">
        <v>2</v>
      </c>
      <c r="F7" s="1">
        <v>3</v>
      </c>
      <c r="G7" s="1" t="s">
        <v>77</v>
      </c>
      <c r="H7" s="1" t="s">
        <v>77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0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24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21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60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60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46341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46343</v>
      </c>
      <c r="B22" s="1">
        <v>21</v>
      </c>
      <c r="C22" s="1" t="s">
        <v>59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89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59</v>
      </c>
      <c r="D28" s="1" t="s">
        <v>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60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60</v>
      </c>
      <c r="D33" s="1" t="s">
        <v>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46375</v>
      </c>
      <c r="B35" s="1">
        <v>34</v>
      </c>
      <c r="C35" s="1" t="s">
        <v>59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46383</v>
      </c>
      <c r="B38" s="1">
        <v>37</v>
      </c>
      <c r="C38" s="1" t="s">
        <v>59</v>
      </c>
      <c r="D38" s="1" t="s">
        <v>16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46385</v>
      </c>
      <c r="B39" s="1">
        <v>38</v>
      </c>
      <c r="C39" s="1" t="s">
        <v>59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46387</v>
      </c>
      <c r="B40" s="1">
        <v>39</v>
      </c>
      <c r="C40" s="1" t="s">
        <v>60</v>
      </c>
      <c r="D40" s="1" t="s">
        <v>12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46024</v>
      </c>
      <c r="B41" s="1">
        <v>40</v>
      </c>
      <c r="C41" s="1" t="s">
        <v>60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46026</v>
      </c>
      <c r="B42" s="1">
        <v>41</v>
      </c>
      <c r="C42" s="1" t="s">
        <v>60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46034</v>
      </c>
      <c r="B46" s="1">
        <v>45</v>
      </c>
      <c r="C46" s="1" t="s">
        <v>60</v>
      </c>
      <c r="D46" s="1" t="s">
        <v>11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46036</v>
      </c>
      <c r="B47" s="1">
        <v>46</v>
      </c>
      <c r="C47" s="1" t="s">
        <v>59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46037</v>
      </c>
      <c r="B48" s="1">
        <v>47</v>
      </c>
      <c r="C48" s="1" t="s">
        <v>59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59</v>
      </c>
      <c r="D49" s="1" t="s">
        <v>12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59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59</v>
      </c>
      <c r="D51" s="1" t="s">
        <v>25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46044</v>
      </c>
      <c r="B52" s="1">
        <v>51</v>
      </c>
      <c r="C52" s="1" t="s">
        <v>60</v>
      </c>
      <c r="D52" s="1" t="s">
        <v>24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46046</v>
      </c>
      <c r="B53" s="1">
        <v>52</v>
      </c>
      <c r="C53" s="1" t="s">
        <v>59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31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46061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46069</v>
      </c>
      <c r="B60" s="1">
        <v>59</v>
      </c>
      <c r="C60" s="1" t="s">
        <v>60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46073</v>
      </c>
      <c r="B62" s="1">
        <v>61</v>
      </c>
      <c r="C62" s="1" t="s">
        <v>60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60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46089</v>
      </c>
      <c r="B70" s="1">
        <v>69</v>
      </c>
      <c r="C70" s="1" t="s">
        <v>59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46091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18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46098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20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46114</v>
      </c>
      <c r="B80" s="1">
        <v>79</v>
      </c>
      <c r="C80" s="1" t="s">
        <v>59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89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89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1</v>
      </c>
      <c r="U86" s="1">
        <f t="shared" si="100"/>
        <v>1</v>
      </c>
      <c r="V86" s="1">
        <f t="shared" si="100"/>
        <v>3</v>
      </c>
      <c r="W86" s="1">
        <f t="shared" si="100"/>
        <v>0</v>
      </c>
      <c r="X86" s="1">
        <f t="shared" si="100"/>
        <v>2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13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2-1-1</v>
      </c>
      <c r="U87" s="1" t="str">
        <f>IF(U86="","0-0-0",CONCATENATE(U86,"-",V86,"-",W86))</f>
        <v>1-3-0</v>
      </c>
      <c r="X87" s="1" t="str">
        <f>IF(X86="","0-0-0",CONCATENATE(X86,"-",Y86,"-",Z86))</f>
        <v>2-3-0</v>
      </c>
      <c r="AA87" s="1" t="str">
        <f>IF(AA86="","0-0",CONCATENATE(AA86,AB86))</f>
        <v>W1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400-000002000000}">
      <formula1>$AK$1:$AK$2</formula1>
    </dataValidation>
    <dataValidation type="list" allowBlank="1" showInputMessage="1" showErrorMessage="1" sqref="C2:C85" xr:uid="{00000000-0002-0000-C400-000001000000}">
      <formula1>$AL$1:$AL$2</formula1>
    </dataValidation>
    <dataValidation type="list" allowBlank="1" showInputMessage="1" showErrorMessage="1" sqref="D2:D85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12</v>
      </c>
      <c r="E2" s="1">
        <v>0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46299</v>
      </c>
      <c r="B3" s="1">
        <v>2</v>
      </c>
      <c r="C3" s="1" t="s">
        <v>60</v>
      </c>
      <c r="D3" s="1" t="s">
        <v>0</v>
      </c>
      <c r="E3" s="1">
        <v>2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19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11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7</v>
      </c>
      <c r="E5" s="1">
        <v>3</v>
      </c>
      <c r="F5" s="1">
        <v>6</v>
      </c>
      <c r="G5" s="1" t="s">
        <v>77</v>
      </c>
      <c r="H5" s="1" t="s">
        <v>77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3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16</v>
      </c>
      <c r="E6" s="1">
        <v>0</v>
      </c>
      <c r="F6" s="1">
        <v>1</v>
      </c>
      <c r="G6" s="1" t="s">
        <v>78</v>
      </c>
      <c r="H6" s="1" t="s">
        <v>78</v>
      </c>
      <c r="I6" s="1">
        <f t="shared" si="2"/>
        <v>1</v>
      </c>
      <c r="J6" s="1">
        <f t="shared" si="3"/>
        <v>3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3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14</v>
      </c>
      <c r="E7" s="1">
        <v>4</v>
      </c>
      <c r="F7" s="1">
        <v>5</v>
      </c>
      <c r="G7" s="1" t="s">
        <v>78</v>
      </c>
      <c r="H7" s="1" t="s">
        <v>77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3</v>
      </c>
      <c r="Q7" s="1">
        <f t="shared" si="10"/>
        <v>1</v>
      </c>
      <c r="R7" s="1">
        <f t="shared" si="11"/>
        <v>0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10</v>
      </c>
      <c r="E8" s="1">
        <v>2</v>
      </c>
      <c r="F8" s="1">
        <v>1</v>
      </c>
      <c r="G8" s="1" t="s">
        <v>77</v>
      </c>
      <c r="H8" s="1" t="s">
        <v>77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3</v>
      </c>
      <c r="Q8" s="1">
        <f t="shared" si="10"/>
        <v>1</v>
      </c>
      <c r="R8" s="1">
        <f t="shared" si="11"/>
        <v>0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20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46321</v>
      </c>
      <c r="B13" s="1">
        <v>12</v>
      </c>
      <c r="C13" s="1" t="s">
        <v>59</v>
      </c>
      <c r="D13" s="1" t="s">
        <v>20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59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24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46365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46367</v>
      </c>
      <c r="B32" s="1">
        <v>31</v>
      </c>
      <c r="C32" s="1" t="s">
        <v>60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46368</v>
      </c>
      <c r="B33" s="1">
        <v>32</v>
      </c>
      <c r="C33" s="1" t="s">
        <v>60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60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59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46026</v>
      </c>
      <c r="B44" s="1">
        <v>43</v>
      </c>
      <c r="C44" s="1" t="s">
        <v>59</v>
      </c>
      <c r="D44" s="1" t="s">
        <v>22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60</v>
      </c>
      <c r="D45" s="1" t="s">
        <v>89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46035</v>
      </c>
      <c r="B47" s="1">
        <v>46</v>
      </c>
      <c r="C47" s="1" t="s">
        <v>59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46038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46039</v>
      </c>
      <c r="B49" s="1">
        <v>48</v>
      </c>
      <c r="C49" s="1" t="s">
        <v>60</v>
      </c>
      <c r="D49" s="1" t="s">
        <v>17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46041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60</v>
      </c>
      <c r="D61" s="1" t="s">
        <v>16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26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29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46082</v>
      </c>
      <c r="B67" s="1">
        <v>66</v>
      </c>
      <c r="C67" s="1" t="s">
        <v>59</v>
      </c>
      <c r="D67" s="1" t="s">
        <v>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46085</v>
      </c>
      <c r="B68" s="1">
        <v>67</v>
      </c>
      <c r="C68" s="1" t="s">
        <v>60</v>
      </c>
      <c r="D68" s="1" t="s">
        <v>14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46093</v>
      </c>
      <c r="B71" s="1">
        <v>70</v>
      </c>
      <c r="C71" s="1" t="s">
        <v>60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59</v>
      </c>
      <c r="D72" s="1" t="s">
        <v>9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46097</v>
      </c>
      <c r="B73" s="1">
        <v>72</v>
      </c>
      <c r="C73" s="1" t="s">
        <v>59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23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3</v>
      </c>
      <c r="Q86" s="1">
        <f t="shared" si="100"/>
        <v>1</v>
      </c>
      <c r="R86" s="1">
        <f t="shared" si="100"/>
        <v>0</v>
      </c>
      <c r="S86" s="1">
        <f t="shared" si="100"/>
        <v>0</v>
      </c>
      <c r="T86" s="1">
        <f t="shared" si="100"/>
        <v>1</v>
      </c>
      <c r="U86" s="1">
        <f t="shared" si="100"/>
        <v>1</v>
      </c>
      <c r="V86" s="1">
        <f t="shared" si="100"/>
        <v>0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16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2-3-1</v>
      </c>
      <c r="R87" s="1" t="str">
        <f>IF(R86="","0-0-0",CONCATENATE(R86,"-",S86,"-",T86))</f>
        <v>0-0-1</v>
      </c>
      <c r="U87" s="1" t="str">
        <f>IF(U86="","0-0-0",CONCATENATE(U86,"-",V86,"-",W86))</f>
        <v>1-0-1</v>
      </c>
      <c r="X87" s="1" t="str">
        <f>IF(X86="","0-0-0",CONCATENATE(X86,"-",Y86,"-",Z86))</f>
        <v>2-1-2</v>
      </c>
      <c r="AA87" s="1" t="str">
        <f>IF(AA86="","0-0",CONCATENATE(AA86,AB86))</f>
        <v>W1</v>
      </c>
      <c r="AD87" s="1" t="str">
        <f>IF(AD86="","0-0-0",CONCATENATE(AD86,"-",AE86,"-",AF86))</f>
        <v>2-3-2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500-000002000000}">
      <formula1>$AK$1:$AK$2</formula1>
    </dataValidation>
    <dataValidation type="list" allowBlank="1" showInputMessage="1" showErrorMessage="1" sqref="C2:C85" xr:uid="{00000000-0002-0000-C500-000000000000}">
      <formula1>$AL$1:$AL$2</formula1>
    </dataValidation>
    <dataValidation type="list" allowBlank="1" showInputMessage="1" showErrorMessage="1" sqref="D2:D85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3</v>
      </c>
      <c r="E2" s="1">
        <v>5</v>
      </c>
      <c r="F2" s="1">
        <v>6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3</v>
      </c>
      <c r="E3" s="1">
        <v>9</v>
      </c>
      <c r="F3" s="1">
        <v>7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18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7</v>
      </c>
      <c r="E4" s="1">
        <v>3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31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1</v>
      </c>
      <c r="X5" s="1">
        <f t="shared" si="17"/>
        <v>3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8</v>
      </c>
      <c r="E6" s="1">
        <v>3</v>
      </c>
      <c r="F6" s="1">
        <v>1</v>
      </c>
      <c r="G6" s="1" t="s">
        <v>77</v>
      </c>
      <c r="H6" s="1" t="s">
        <v>77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0</v>
      </c>
      <c r="W6" s="1">
        <f t="shared" si="16"/>
        <v>1</v>
      </c>
      <c r="X6" s="1">
        <f t="shared" si="17"/>
        <v>4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4</v>
      </c>
      <c r="S7" s="1">
        <f t="shared" si="12"/>
        <v>0</v>
      </c>
      <c r="T7" s="1">
        <f t="shared" si="13"/>
        <v>0</v>
      </c>
      <c r="U7" s="1">
        <f t="shared" si="14"/>
        <v>5</v>
      </c>
      <c r="V7" s="1">
        <f t="shared" si="15"/>
        <v>0</v>
      </c>
      <c r="W7" s="1">
        <f t="shared" si="16"/>
        <v>1</v>
      </c>
      <c r="X7" s="1">
        <f t="shared" si="17"/>
        <v>5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89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1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4</v>
      </c>
      <c r="S8" s="1">
        <f t="shared" si="12"/>
        <v>0</v>
      </c>
      <c r="T8" s="1">
        <f t="shared" si="13"/>
        <v>0</v>
      </c>
      <c r="U8" s="1">
        <f t="shared" si="14"/>
        <v>5</v>
      </c>
      <c r="V8" s="1">
        <f t="shared" si="15"/>
        <v>0</v>
      </c>
      <c r="W8" s="1">
        <f t="shared" si="16"/>
        <v>1</v>
      </c>
      <c r="X8" s="1">
        <f t="shared" si="17"/>
        <v>5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1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89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19</v>
      </c>
      <c r="AN11" s="1" t="s">
        <v>6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89</v>
      </c>
    </row>
    <row r="13" spans="1:41" x14ac:dyDescent="0.3">
      <c r="A13" s="42">
        <v>46321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60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46348</v>
      </c>
      <c r="B27" s="1">
        <v>26</v>
      </c>
      <c r="C27" s="1" t="s">
        <v>59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46350</v>
      </c>
      <c r="B28" s="1">
        <v>27</v>
      </c>
      <c r="C28" s="1" t="s">
        <v>60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60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16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46376</v>
      </c>
      <c r="B40" s="1">
        <v>39</v>
      </c>
      <c r="C40" s="1" t="s">
        <v>60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59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29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21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59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19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46398</v>
      </c>
      <c r="B49" s="1">
        <v>48</v>
      </c>
      <c r="C49" s="1" t="s">
        <v>60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46400</v>
      </c>
      <c r="B50" s="1">
        <v>49</v>
      </c>
      <c r="C50" s="1" t="s">
        <v>60</v>
      </c>
      <c r="D50" s="1" t="s">
        <v>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46402</v>
      </c>
      <c r="B51" s="1">
        <v>50</v>
      </c>
      <c r="C51" s="1" t="s">
        <v>60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46404</v>
      </c>
      <c r="B52" s="1">
        <v>51</v>
      </c>
      <c r="C52" s="1" t="s">
        <v>60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46407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46408</v>
      </c>
      <c r="B54" s="1">
        <v>53</v>
      </c>
      <c r="C54" s="1" t="s">
        <v>59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46410</v>
      </c>
      <c r="B55" s="1">
        <v>54</v>
      </c>
      <c r="C55" s="1" t="s">
        <v>59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46413</v>
      </c>
      <c r="B56" s="1">
        <v>55</v>
      </c>
      <c r="C56" s="1" t="s">
        <v>59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46415</v>
      </c>
      <c r="B57" s="1">
        <v>56</v>
      </c>
      <c r="C57" s="1" t="s">
        <v>60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46417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46430</v>
      </c>
      <c r="B60" s="1">
        <v>59</v>
      </c>
      <c r="C60" s="1" t="s">
        <v>60</v>
      </c>
      <c r="D60" s="1" t="s">
        <v>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46431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46435</v>
      </c>
      <c r="B62" s="1">
        <v>61</v>
      </c>
      <c r="C62" s="1" t="s">
        <v>60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46437</v>
      </c>
      <c r="B63" s="1">
        <v>62</v>
      </c>
      <c r="C63" s="1" t="s">
        <v>60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46443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25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59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60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22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31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60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46484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1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1</v>
      </c>
      <c r="R86" s="1">
        <f t="shared" si="100"/>
        <v>4</v>
      </c>
      <c r="S86" s="1">
        <f t="shared" si="100"/>
        <v>0</v>
      </c>
      <c r="T86" s="1">
        <f t="shared" si="100"/>
        <v>0</v>
      </c>
      <c r="U86" s="1">
        <f t="shared" si="100"/>
        <v>5</v>
      </c>
      <c r="V86" s="1">
        <f t="shared" si="100"/>
        <v>0</v>
      </c>
      <c r="W86" s="1">
        <f t="shared" si="100"/>
        <v>1</v>
      </c>
      <c r="X86" s="1">
        <f t="shared" si="100"/>
        <v>5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1-1-1</v>
      </c>
      <c r="R87" s="1" t="str">
        <f>IF(R86="","0-0-0",CONCATENATE(R86,"-",S86,"-",T86))</f>
        <v>4-0-0</v>
      </c>
      <c r="U87" s="1" t="str">
        <f>IF(U86="","0-0-0",CONCATENATE(U86,"-",V86,"-",W86))</f>
        <v>5-0-1</v>
      </c>
      <c r="X87" s="1" t="str">
        <f>IF(X86="","0-0-0",CONCATENATE(X86,"-",Y86,"-",Z86))</f>
        <v>5-1-1</v>
      </c>
      <c r="AA87" s="1" t="str">
        <f>IF(AA86="","0-0",CONCATENATE(AA86,AB86))</f>
        <v>L1</v>
      </c>
      <c r="AD87" s="1" t="str">
        <f>IF(AD86="","0-0-0",CONCATENATE(AD86,"-",AE86,"-",AF86))</f>
        <v>5-1-1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600-000002000000}">
      <formula1>$AK$1:$AK$2</formula1>
    </dataValidation>
    <dataValidation type="list" allowBlank="1" showInputMessage="1" showErrorMessage="1" sqref="C2:C85" xr:uid="{00000000-0002-0000-C600-000001000000}">
      <formula1>$AL$1:$AL$2</formula1>
    </dataValidation>
    <dataValidation type="list" allowBlank="1" showInputMessage="1" showErrorMessage="1" sqref="D2:D85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26</v>
      </c>
      <c r="E2" s="1">
        <v>1</v>
      </c>
      <c r="F2" s="1">
        <v>0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8</v>
      </c>
      <c r="E3" s="1">
        <v>3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31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2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16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18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17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1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2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16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28</v>
      </c>
      <c r="E7" s="1">
        <v>3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2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23</v>
      </c>
      <c r="E8" s="1">
        <v>7</v>
      </c>
      <c r="F8" s="1">
        <v>3</v>
      </c>
      <c r="G8" s="1" t="s">
        <v>77</v>
      </c>
      <c r="H8" s="1" t="s">
        <v>77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2</v>
      </c>
      <c r="U8" s="1">
        <f t="shared" si="14"/>
        <v>0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13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3</v>
      </c>
      <c r="E9" s="1">
        <v>3</v>
      </c>
      <c r="F9" s="1">
        <v>2</v>
      </c>
      <c r="G9" s="1" t="s">
        <v>78</v>
      </c>
      <c r="H9" s="1" t="s">
        <v>77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2</v>
      </c>
      <c r="U9" s="1">
        <f t="shared" si="14"/>
        <v>0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12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7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46316</v>
      </c>
      <c r="B11" s="1">
        <v>10</v>
      </c>
      <c r="C11" s="1" t="s">
        <v>59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18</v>
      </c>
      <c r="AN12" s="1" t="s">
        <v>9</v>
      </c>
    </row>
    <row r="13" spans="1:41" x14ac:dyDescent="0.3">
      <c r="A13" s="42">
        <v>46320</v>
      </c>
      <c r="B13" s="1">
        <v>12</v>
      </c>
      <c r="C13" s="1" t="s">
        <v>59</v>
      </c>
      <c r="D13" s="1" t="s">
        <v>25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60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46328</v>
      </c>
      <c r="B16" s="1">
        <v>15</v>
      </c>
      <c r="C16" s="1" t="s">
        <v>60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46330</v>
      </c>
      <c r="B17" s="1">
        <v>16</v>
      </c>
      <c r="C17" s="1" t="s">
        <v>60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59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59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60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46370</v>
      </c>
      <c r="B35" s="1">
        <v>34</v>
      </c>
      <c r="C35" s="1" t="s">
        <v>59</v>
      </c>
      <c r="D35" s="1" t="s">
        <v>10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60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59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46389</v>
      </c>
      <c r="B43" s="1">
        <v>42</v>
      </c>
      <c r="C43" s="1" t="s">
        <v>60</v>
      </c>
      <c r="D43" s="1" t="s">
        <v>16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46399</v>
      </c>
      <c r="B47" s="1">
        <v>46</v>
      </c>
      <c r="C47" s="1" t="s">
        <v>59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46401</v>
      </c>
      <c r="B48" s="1">
        <v>47</v>
      </c>
      <c r="C48" s="1" t="s">
        <v>59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46405</v>
      </c>
      <c r="B50" s="1">
        <v>49</v>
      </c>
      <c r="C50" s="1" t="s">
        <v>60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46408</v>
      </c>
      <c r="B51" s="1">
        <v>50</v>
      </c>
      <c r="C51" s="1" t="s">
        <v>60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46411</v>
      </c>
      <c r="B52" s="1">
        <v>51</v>
      </c>
      <c r="C52" s="1" t="s">
        <v>60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46414</v>
      </c>
      <c r="B54" s="1">
        <v>53</v>
      </c>
      <c r="C54" s="1" t="s">
        <v>59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46416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60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22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59</v>
      </c>
      <c r="D60" s="1" t="s">
        <v>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46439</v>
      </c>
      <c r="B63" s="1">
        <v>62</v>
      </c>
      <c r="C63" s="1" t="s">
        <v>60</v>
      </c>
      <c r="D63" s="1" t="s">
        <v>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46442</v>
      </c>
      <c r="B64" s="1">
        <v>63</v>
      </c>
      <c r="C64" s="1" t="s">
        <v>59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59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60</v>
      </c>
      <c r="D67" s="1" t="s">
        <v>89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46461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59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2</v>
      </c>
      <c r="K86" s="1">
        <f t="shared" si="99"/>
        <v>2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0</v>
      </c>
      <c r="X86" s="1">
        <f t="shared" si="100"/>
        <v>2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22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3-1-2</v>
      </c>
      <c r="U87" s="1" t="str">
        <f>IF(U86="","0-0-0",CONCATENATE(U86,"-",V86,"-",W86))</f>
        <v>0-1-0</v>
      </c>
      <c r="X87" s="1" t="str">
        <f>IF(X86="","0-0-0",CONCATENATE(X86,"-",Y86,"-",Z86))</f>
        <v>2-1-0</v>
      </c>
      <c r="AA87" s="1" t="str">
        <f>IF(AA86="","0-0",CONCATENATE(AA86,AB86))</f>
        <v>W2</v>
      </c>
      <c r="AD87" s="1" t="str">
        <f>IF(AD86="","0-0-0",CONCATENATE(AD86,"-",AE86,"-",AF86))</f>
        <v>4-2-2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700-000002000000}">
      <formula1>$AK$1:$AK$2</formula1>
    </dataValidation>
    <dataValidation type="list" allowBlank="1" showInputMessage="1" showErrorMessage="1" sqref="C2:C85" xr:uid="{00000000-0002-0000-C700-000000000000}">
      <formula1>$AL$1:$AL$2</formula1>
    </dataValidation>
    <dataValidation type="list" allowBlank="1" showInputMessage="1" showErrorMessage="1" sqref="D2:D85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24</v>
      </c>
      <c r="E2" s="1">
        <v>4</v>
      </c>
      <c r="F2" s="1">
        <v>8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8</v>
      </c>
      <c r="E3" s="1">
        <v>4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19</v>
      </c>
      <c r="E4" s="1">
        <v>1</v>
      </c>
      <c r="F4" s="1">
        <v>2</v>
      </c>
      <c r="G4" s="1" t="s">
        <v>77</v>
      </c>
      <c r="H4" s="1" t="s">
        <v>77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3">
      <c r="A5" s="42">
        <v>46305</v>
      </c>
      <c r="B5" s="1">
        <v>4</v>
      </c>
      <c r="C5" s="1" t="s">
        <v>59</v>
      </c>
      <c r="D5" s="1" t="s">
        <v>2</v>
      </c>
      <c r="E5" s="1">
        <v>1</v>
      </c>
      <c r="F5" s="1">
        <v>2</v>
      </c>
      <c r="G5" s="1" t="s">
        <v>78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2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OTL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46308</v>
      </c>
      <c r="B6" s="1">
        <v>5</v>
      </c>
      <c r="C6" s="1" t="s">
        <v>60</v>
      </c>
      <c r="D6" s="1" t="s">
        <v>20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2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46312</v>
      </c>
      <c r="B7" s="1">
        <v>6</v>
      </c>
      <c r="C7" s="1" t="s">
        <v>60</v>
      </c>
      <c r="D7" s="1" t="s">
        <v>29</v>
      </c>
      <c r="I7" s="1" t="str">
        <f t="shared" si="2"/>
        <v/>
      </c>
      <c r="J7" s="1" t="str">
        <f t="shared" si="3"/>
        <v/>
      </c>
      <c r="K7" s="1" t="str">
        <f t="shared" si="4"/>
        <v/>
      </c>
      <c r="L7" s="1" t="str">
        <f t="shared" si="5"/>
        <v/>
      </c>
      <c r="M7" s="1" t="str">
        <f t="shared" si="6"/>
        <v/>
      </c>
      <c r="N7" s="1" t="str">
        <f t="shared" si="7"/>
        <v/>
      </c>
      <c r="O7" s="1" t="str">
        <f t="shared" si="8"/>
        <v/>
      </c>
      <c r="P7" s="1" t="str">
        <f t="shared" si="9"/>
        <v/>
      </c>
      <c r="Q7" s="1" t="str">
        <f t="shared" si="10"/>
        <v/>
      </c>
      <c r="R7" s="1" t="str">
        <f t="shared" si="11"/>
        <v/>
      </c>
      <c r="S7" s="1" t="str">
        <f t="shared" si="12"/>
        <v/>
      </c>
      <c r="T7" s="1" t="str">
        <f t="shared" si="13"/>
        <v/>
      </c>
      <c r="U7" s="1" t="str">
        <f t="shared" si="14"/>
        <v/>
      </c>
      <c r="V7" s="1" t="str">
        <f t="shared" si="15"/>
        <v/>
      </c>
      <c r="W7" s="1" t="str">
        <f t="shared" si="16"/>
        <v/>
      </c>
      <c r="X7" s="1" t="str">
        <f t="shared" si="17"/>
        <v/>
      </c>
      <c r="Y7" s="1" t="str">
        <f t="shared" si="18"/>
        <v/>
      </c>
      <c r="Z7" s="1" t="str">
        <f t="shared" si="19"/>
        <v/>
      </c>
      <c r="AA7" s="1" t="str">
        <f t="shared" si="0"/>
        <v/>
      </c>
      <c r="AB7" s="1" t="str">
        <f t="shared" si="20"/>
        <v/>
      </c>
      <c r="AC7" s="1" t="str">
        <f t="shared" si="1"/>
        <v/>
      </c>
      <c r="AD7" s="1" t="str">
        <f t="shared" si="21"/>
        <v/>
      </c>
      <c r="AE7" s="1" t="str">
        <f t="shared" si="22"/>
        <v/>
      </c>
      <c r="AF7" s="1" t="str">
        <f t="shared" si="23"/>
        <v/>
      </c>
      <c r="AG7" s="43"/>
      <c r="AM7" s="1" t="s">
        <v>24</v>
      </c>
      <c r="AN7" s="1" t="s">
        <v>17</v>
      </c>
      <c r="AO7" s="1" t="s">
        <v>2</v>
      </c>
    </row>
    <row r="8" spans="1:41" x14ac:dyDescent="0.3">
      <c r="A8" s="42">
        <v>46315</v>
      </c>
      <c r="B8" s="1">
        <v>7</v>
      </c>
      <c r="C8" s="1" t="s">
        <v>59</v>
      </c>
      <c r="D8" s="1" t="s">
        <v>1</v>
      </c>
      <c r="I8" s="1" t="str">
        <f t="shared" si="2"/>
        <v/>
      </c>
      <c r="J8" s="1" t="str">
        <f t="shared" si="3"/>
        <v/>
      </c>
      <c r="K8" s="1" t="str">
        <f t="shared" si="4"/>
        <v/>
      </c>
      <c r="L8" s="1" t="str">
        <f t="shared" si="5"/>
        <v/>
      </c>
      <c r="M8" s="1" t="str">
        <f t="shared" si="6"/>
        <v/>
      </c>
      <c r="N8" s="1" t="str">
        <f t="shared" si="7"/>
        <v/>
      </c>
      <c r="O8" s="1" t="str">
        <f t="shared" si="8"/>
        <v/>
      </c>
      <c r="P8" s="1" t="str">
        <f t="shared" si="9"/>
        <v/>
      </c>
      <c r="Q8" s="1" t="str">
        <f t="shared" si="10"/>
        <v/>
      </c>
      <c r="R8" s="1" t="str">
        <f t="shared" si="11"/>
        <v/>
      </c>
      <c r="S8" s="1" t="str">
        <f t="shared" si="12"/>
        <v/>
      </c>
      <c r="T8" s="1" t="str">
        <f t="shared" si="13"/>
        <v/>
      </c>
      <c r="U8" s="1" t="str">
        <f t="shared" si="14"/>
        <v/>
      </c>
      <c r="V8" s="1" t="str">
        <f t="shared" si="15"/>
        <v/>
      </c>
      <c r="W8" s="1" t="str">
        <f t="shared" si="16"/>
        <v/>
      </c>
      <c r="X8" s="1" t="str">
        <f t="shared" si="17"/>
        <v/>
      </c>
      <c r="Y8" s="1" t="str">
        <f t="shared" si="18"/>
        <v/>
      </c>
      <c r="Z8" s="1" t="str">
        <f t="shared" si="19"/>
        <v/>
      </c>
      <c r="AA8" s="1" t="str">
        <f t="shared" si="0"/>
        <v/>
      </c>
      <c r="AB8" s="1" t="str">
        <f t="shared" si="20"/>
        <v/>
      </c>
      <c r="AC8" s="1" t="str">
        <f t="shared" si="1"/>
        <v/>
      </c>
      <c r="AD8" s="1" t="str">
        <f t="shared" si="21"/>
        <v/>
      </c>
      <c r="AE8" s="1" t="str">
        <f t="shared" si="22"/>
        <v/>
      </c>
      <c r="AF8" s="1" t="str">
        <f t="shared" si="23"/>
        <v/>
      </c>
      <c r="AG8" s="43"/>
      <c r="AM8" s="1" t="s">
        <v>23</v>
      </c>
      <c r="AN8" s="1" t="s">
        <v>15</v>
      </c>
    </row>
    <row r="9" spans="1:41" x14ac:dyDescent="0.3">
      <c r="A9" s="42">
        <v>46317</v>
      </c>
      <c r="B9" s="1">
        <v>8</v>
      </c>
      <c r="C9" s="1" t="s">
        <v>59</v>
      </c>
      <c r="D9" s="1" t="s">
        <v>13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46319</v>
      </c>
      <c r="B10" s="1">
        <v>9</v>
      </c>
      <c r="C10" s="1" t="s">
        <v>59</v>
      </c>
      <c r="D10" s="1" t="s">
        <v>14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46321</v>
      </c>
      <c r="B11" s="1">
        <v>10</v>
      </c>
      <c r="C11" s="1" t="s">
        <v>59</v>
      </c>
      <c r="D11" s="1" t="s">
        <v>12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46322</v>
      </c>
      <c r="B12" s="1">
        <v>11</v>
      </c>
      <c r="C12" s="1" t="s">
        <v>59</v>
      </c>
      <c r="D12" s="1" t="s">
        <v>25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11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3">
      <c r="A14" s="42">
        <v>46326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46330</v>
      </c>
      <c r="B15" s="1">
        <v>14</v>
      </c>
      <c r="C15" s="1" t="s">
        <v>60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46336</v>
      </c>
      <c r="B17" s="1">
        <v>16</v>
      </c>
      <c r="C17" s="1" t="s">
        <v>60</v>
      </c>
      <c r="D17" s="1" t="s">
        <v>15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46345</v>
      </c>
      <c r="B21" s="1">
        <v>20</v>
      </c>
      <c r="C21" s="1" t="s">
        <v>59</v>
      </c>
      <c r="D21" s="1" t="s">
        <v>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46349</v>
      </c>
      <c r="B23" s="1">
        <v>22</v>
      </c>
      <c r="C23" s="1" t="s">
        <v>59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31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46365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46367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46368</v>
      </c>
      <c r="B31" s="1">
        <v>30</v>
      </c>
      <c r="C31" s="1" t="s">
        <v>60</v>
      </c>
      <c r="D31" s="1" t="s">
        <v>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59</v>
      </c>
      <c r="D33" s="1" t="s">
        <v>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46376</v>
      </c>
      <c r="B35" s="1">
        <v>34</v>
      </c>
      <c r="C35" s="1" t="s">
        <v>59</v>
      </c>
      <c r="D35" s="1" t="s">
        <v>28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46382</v>
      </c>
      <c r="B37" s="1">
        <v>36</v>
      </c>
      <c r="C37" s="1" t="s">
        <v>60</v>
      </c>
      <c r="D37" s="1" t="s">
        <v>89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46384</v>
      </c>
      <c r="B38" s="1">
        <v>37</v>
      </c>
      <c r="C38" s="1" t="s">
        <v>59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60</v>
      </c>
      <c r="D39" s="1" t="s">
        <v>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46389</v>
      </c>
      <c r="B40" s="1">
        <v>39</v>
      </c>
      <c r="C40" s="1" t="s">
        <v>60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46391</v>
      </c>
      <c r="B41" s="1">
        <v>40</v>
      </c>
      <c r="C41" s="1" t="s">
        <v>60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46393</v>
      </c>
      <c r="B42" s="1">
        <v>41</v>
      </c>
      <c r="C42" s="1" t="s">
        <v>60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46396</v>
      </c>
      <c r="B43" s="1">
        <v>42</v>
      </c>
      <c r="C43" s="1" t="s">
        <v>60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46398</v>
      </c>
      <c r="B44" s="1">
        <v>43</v>
      </c>
      <c r="C44" s="1" t="s">
        <v>60</v>
      </c>
      <c r="D44" s="1" t="s">
        <v>12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46400</v>
      </c>
      <c r="B45" s="1">
        <v>44</v>
      </c>
      <c r="C45" s="1" t="s">
        <v>60</v>
      </c>
      <c r="D45" s="1" t="s">
        <v>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46402</v>
      </c>
      <c r="B46" s="1">
        <v>45</v>
      </c>
      <c r="C46" s="1" t="s">
        <v>59</v>
      </c>
      <c r="D46" s="1" t="s">
        <v>89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46403</v>
      </c>
      <c r="B47" s="1">
        <v>46</v>
      </c>
      <c r="C47" s="1" t="s">
        <v>59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46406</v>
      </c>
      <c r="B48" s="1">
        <v>47</v>
      </c>
      <c r="C48" s="1" t="s">
        <v>60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46408</v>
      </c>
      <c r="B49" s="1">
        <v>48</v>
      </c>
      <c r="C49" s="1" t="s">
        <v>60</v>
      </c>
      <c r="D49" s="1" t="s">
        <v>20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46410</v>
      </c>
      <c r="B50" s="1">
        <v>49</v>
      </c>
      <c r="C50" s="1" t="s">
        <v>59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46411</v>
      </c>
      <c r="B51" s="1">
        <v>50</v>
      </c>
      <c r="C51" s="1" t="s">
        <v>59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46413</v>
      </c>
      <c r="B52" s="1">
        <v>51</v>
      </c>
      <c r="C52" s="1" t="s">
        <v>59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46417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46426</v>
      </c>
      <c r="B55" s="1">
        <v>54</v>
      </c>
      <c r="C55" s="1" t="s">
        <v>59</v>
      </c>
      <c r="D55" s="1" t="s">
        <v>22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46427</v>
      </c>
      <c r="B56" s="1">
        <v>55</v>
      </c>
      <c r="C56" s="1" t="s">
        <v>59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46429</v>
      </c>
      <c r="B57" s="1">
        <v>56</v>
      </c>
      <c r="C57" s="1" t="s">
        <v>60</v>
      </c>
      <c r="D57" s="1" t="s">
        <v>21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46431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46433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46435</v>
      </c>
      <c r="B60" s="1">
        <v>59</v>
      </c>
      <c r="C60" s="1" t="s">
        <v>59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60</v>
      </c>
      <c r="D62" s="1" t="s">
        <v>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46442</v>
      </c>
      <c r="B63" s="1">
        <v>62</v>
      </c>
      <c r="C63" s="1" t="s">
        <v>60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15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60</v>
      </c>
      <c r="D68" s="1" t="s">
        <v>23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24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46467</v>
      </c>
      <c r="B75" s="1">
        <v>74</v>
      </c>
      <c r="C75" s="1" t="s">
        <v>59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46469</v>
      </c>
      <c r="B76" s="1">
        <v>75</v>
      </c>
      <c r="C76" s="1" t="s">
        <v>59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59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46475</v>
      </c>
      <c r="B79" s="1">
        <v>78</v>
      </c>
      <c r="C79" s="1" t="s">
        <v>60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59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60</v>
      </c>
      <c r="D84" s="1" t="s">
        <v>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3</v>
      </c>
      <c r="K86" s="1">
        <f t="shared" si="99"/>
        <v>0</v>
      </c>
      <c r="L86" s="1">
        <f t="shared" si="99"/>
        <v>2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0</v>
      </c>
      <c r="R86" s="1">
        <f t="shared" si="100"/>
        <v>0</v>
      </c>
      <c r="S86" s="1">
        <f t="shared" si="100"/>
        <v>1</v>
      </c>
      <c r="T86" s="1">
        <f t="shared" si="100"/>
        <v>2</v>
      </c>
      <c r="U86" s="1">
        <f t="shared" si="100"/>
        <v>0</v>
      </c>
      <c r="V86" s="1">
        <f t="shared" si="100"/>
        <v>1</v>
      </c>
      <c r="W86" s="1">
        <f t="shared" si="100"/>
        <v>2</v>
      </c>
      <c r="X86" s="1">
        <f t="shared" si="100"/>
        <v>0</v>
      </c>
      <c r="Y86" s="1">
        <f t="shared" si="100"/>
        <v>2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5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0-2-0</v>
      </c>
      <c r="R87" s="1" t="str">
        <f>IF(R86="","0-0-0",CONCATENATE(R86,"-",S86,"-",T86))</f>
        <v>0-1-2</v>
      </c>
      <c r="U87" s="1" t="str">
        <f>IF(U86="","0-0-0",CONCATENATE(U86,"-",V86,"-",W86))</f>
        <v>0-1-2</v>
      </c>
      <c r="X87" s="1" t="str">
        <f>IF(X86="","0-0-0",CONCATENATE(X86,"-",Y86,"-",Z86))</f>
        <v>0-2-2</v>
      </c>
      <c r="AA87" s="1" t="str">
        <f>IF(AA86="","0-0",CONCATENATE(AA86,AB86))</f>
        <v>L5</v>
      </c>
      <c r="AD87" s="1" t="str">
        <f>IF(AD86="","0-0-0",CONCATENATE(AD86,"-",AE86,"-",AF86))</f>
        <v>0-3-2</v>
      </c>
    </row>
    <row r="88" spans="1:33" x14ac:dyDescent="0.3">
      <c r="C88" s="1">
        <f>SUM(C86:C87)</f>
        <v>84</v>
      </c>
      <c r="D88" s="1">
        <f>COUNTA(E2:E85)</f>
        <v>5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X1:Z1"/>
    <mergeCell ref="U1:W1"/>
    <mergeCell ref="R1:T1"/>
    <mergeCell ref="O1:Q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800-000002000000}">
      <formula1>$AK$1:$AK$2</formula1>
    </dataValidation>
    <dataValidation type="list" allowBlank="1" showInputMessage="1" showErrorMessage="1" sqref="C2:C85" xr:uid="{00000000-0002-0000-C800-000001000000}">
      <formula1>$AL$1:$AL$2</formula1>
    </dataValidation>
    <dataValidation type="list" allowBlank="1" showInputMessage="1" showErrorMessage="1" sqref="D2:D85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15</v>
      </c>
      <c r="E2" s="1">
        <v>3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28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15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5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19</v>
      </c>
      <c r="E6" s="1">
        <v>4</v>
      </c>
      <c r="F6" s="1">
        <v>1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46307</v>
      </c>
      <c r="B7" s="1">
        <v>6</v>
      </c>
      <c r="C7" s="1" t="s">
        <v>60</v>
      </c>
      <c r="D7" s="1" t="s">
        <v>2</v>
      </c>
      <c r="E7" s="1">
        <v>4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0</v>
      </c>
      <c r="E8" s="1">
        <v>2</v>
      </c>
      <c r="F8" s="1">
        <v>5</v>
      </c>
      <c r="G8" s="1" t="s">
        <v>77</v>
      </c>
      <c r="H8" s="1" t="s">
        <v>77</v>
      </c>
      <c r="I8" s="1">
        <f t="shared" si="2"/>
        <v>4</v>
      </c>
      <c r="J8" s="1">
        <f t="shared" si="3"/>
        <v>2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6</v>
      </c>
      <c r="E9" s="1">
        <v>5</v>
      </c>
      <c r="F9" s="1">
        <v>4</v>
      </c>
      <c r="G9" s="1" t="s">
        <v>77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1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3">
      <c r="A10" s="42">
        <v>46313</v>
      </c>
      <c r="B10" s="1">
        <v>9</v>
      </c>
      <c r="C10" s="1" t="s">
        <v>60</v>
      </c>
      <c r="D10" s="1" t="s">
        <v>23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20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27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46320</v>
      </c>
      <c r="B14" s="1">
        <v>13</v>
      </c>
      <c r="C14" s="1" t="s">
        <v>59</v>
      </c>
      <c r="D14" s="1" t="s">
        <v>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89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60</v>
      </c>
      <c r="D16" s="1" t="s">
        <v>13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46332</v>
      </c>
      <c r="B19" s="1">
        <v>18</v>
      </c>
      <c r="C19" s="1" t="s">
        <v>60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46333</v>
      </c>
      <c r="B20" s="1">
        <v>19</v>
      </c>
      <c r="C20" s="1" t="s">
        <v>60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46336</v>
      </c>
      <c r="B21" s="1">
        <v>20</v>
      </c>
      <c r="C21" s="1" t="s">
        <v>59</v>
      </c>
      <c r="D21" s="1" t="s">
        <v>16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46338</v>
      </c>
      <c r="B22" s="1">
        <v>21</v>
      </c>
      <c r="C22" s="1" t="s">
        <v>59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60</v>
      </c>
      <c r="D28" s="1" t="s">
        <v>89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31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10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20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60</v>
      </c>
      <c r="D40" s="1" t="s">
        <v>18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60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59</v>
      </c>
      <c r="D45" s="1" t="s">
        <v>31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46039</v>
      </c>
      <c r="B50" s="1">
        <v>49</v>
      </c>
      <c r="C50" s="1" t="s">
        <v>59</v>
      </c>
      <c r="D50" s="1" t="s">
        <v>21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59</v>
      </c>
      <c r="D51" s="1" t="s">
        <v>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46047</v>
      </c>
      <c r="B54" s="1">
        <v>53</v>
      </c>
      <c r="C54" s="1" t="s">
        <v>59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46064</v>
      </c>
      <c r="B58" s="1">
        <v>57</v>
      </c>
      <c r="C58" s="1" t="s">
        <v>59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18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46076</v>
      </c>
      <c r="B64" s="1">
        <v>63</v>
      </c>
      <c r="C64" s="1" t="s">
        <v>60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59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11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46095</v>
      </c>
      <c r="B72" s="1">
        <v>71</v>
      </c>
      <c r="C72" s="1" t="s">
        <v>60</v>
      </c>
      <c r="D72" s="1" t="s">
        <v>28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89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59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60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25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0</v>
      </c>
      <c r="Q86" s="1">
        <f t="shared" si="100"/>
        <v>0</v>
      </c>
      <c r="R86" s="1">
        <f t="shared" si="100"/>
        <v>2</v>
      </c>
      <c r="S86" s="1">
        <f t="shared" si="100"/>
        <v>2</v>
      </c>
      <c r="T86" s="1">
        <f t="shared" si="100"/>
        <v>1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26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3-0-0</v>
      </c>
      <c r="R87" s="1" t="str">
        <f>IF(R86="","0-0-0",CONCATENATE(R86,"-",S86,"-",T86))</f>
        <v>2-2-1</v>
      </c>
      <c r="U87" s="1" t="str">
        <f>IF(U86="","0-0-0",CONCATENATE(U86,"-",V86,"-",W86))</f>
        <v>2-1-0</v>
      </c>
      <c r="X87" s="1" t="str">
        <f>IF(X86="","0-0-0",CONCATENATE(X86,"-",Y86,"-",Z86))</f>
        <v>3-1-0</v>
      </c>
      <c r="AA87" s="1" t="str">
        <f>IF(AA86="","0-0",CONCATENATE(AA86,AB86))</f>
        <v>W1</v>
      </c>
      <c r="AD87" s="1" t="str">
        <f>IF(AD86="","0-0-0",CONCATENATE(AD86,"-",AE86,"-",AF86))</f>
        <v>5-2-1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900-000002000000}">
      <formula1>$AK$1:$AK$2</formula1>
    </dataValidation>
    <dataValidation type="list" allowBlank="1" showInputMessage="1" showErrorMessage="1" sqref="C2:C85" xr:uid="{00000000-0002-0000-C900-000000000000}">
      <formula1>$AL$1:$AL$2</formula1>
    </dataValidation>
    <dataValidation type="list" allowBlank="1" showInputMessage="1" showErrorMessage="1" sqref="D2:D85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9</v>
      </c>
      <c r="E3" s="1">
        <v>5</v>
      </c>
      <c r="F3" s="1">
        <v>6</v>
      </c>
      <c r="G3" s="1" t="s">
        <v>78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26</v>
      </c>
      <c r="E4" s="1">
        <v>4</v>
      </c>
      <c r="F4" s="1">
        <v>6</v>
      </c>
      <c r="G4" s="1" t="s">
        <v>77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15</v>
      </c>
      <c r="E5" s="1">
        <v>2</v>
      </c>
      <c r="F5" s="1">
        <v>5</v>
      </c>
      <c r="G5" s="1" t="s">
        <v>77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11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21</v>
      </c>
      <c r="E6" s="1">
        <v>1</v>
      </c>
      <c r="F6" s="1">
        <v>0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28</v>
      </c>
      <c r="E7" s="1">
        <v>4</v>
      </c>
      <c r="F7" s="1">
        <v>3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2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14</v>
      </c>
      <c r="AO7" s="1" t="s">
        <v>4</v>
      </c>
    </row>
    <row r="8" spans="1:41" x14ac:dyDescent="0.3">
      <c r="A8" s="42">
        <v>46309</v>
      </c>
      <c r="B8" s="1">
        <v>7</v>
      </c>
      <c r="C8" s="1" t="s">
        <v>59</v>
      </c>
      <c r="D8" s="1" t="s">
        <v>1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2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28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46342</v>
      </c>
      <c r="B22" s="1">
        <v>21</v>
      </c>
      <c r="C22" s="1" t="s">
        <v>59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59</v>
      </c>
      <c r="D23" s="1" t="s">
        <v>14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59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18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59</v>
      </c>
      <c r="D28" s="1" t="s">
        <v>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46356</v>
      </c>
      <c r="B29" s="1">
        <v>28</v>
      </c>
      <c r="C29" s="1" t="s">
        <v>59</v>
      </c>
      <c r="D29" s="1" t="s">
        <v>89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46358</v>
      </c>
      <c r="B30" s="1">
        <v>29</v>
      </c>
      <c r="C30" s="1" t="s">
        <v>60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46362</v>
      </c>
      <c r="B32" s="1">
        <v>31</v>
      </c>
      <c r="C32" s="1" t="s">
        <v>60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60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59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60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46393</v>
      </c>
      <c r="B46" s="1">
        <v>45</v>
      </c>
      <c r="C46" s="1" t="s">
        <v>60</v>
      </c>
      <c r="D46" s="1" t="s">
        <v>29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46400</v>
      </c>
      <c r="B48" s="1">
        <v>47</v>
      </c>
      <c r="C48" s="1" t="s">
        <v>60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26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46432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59</v>
      </c>
      <c r="D65" s="1" t="s">
        <v>18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59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60</v>
      </c>
      <c r="D69" s="1" t="s">
        <v>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46456</v>
      </c>
      <c r="B71" s="1">
        <v>70</v>
      </c>
      <c r="C71" s="1" t="s">
        <v>60</v>
      </c>
      <c r="D71" s="1" t="s">
        <v>29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46470</v>
      </c>
      <c r="B77" s="1">
        <v>76</v>
      </c>
      <c r="C77" s="1" t="s">
        <v>60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46474</v>
      </c>
      <c r="B79" s="1">
        <v>78</v>
      </c>
      <c r="C79" s="1" t="s">
        <v>60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59</v>
      </c>
      <c r="D80" s="1" t="s">
        <v>29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2</v>
      </c>
      <c r="L86" s="1">
        <f t="shared" si="99"/>
        <v>1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3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1-1-1</v>
      </c>
      <c r="U87" s="1" t="str">
        <f>IF(U86="","0-0-0",CONCATENATE(U86,"-",V86,"-",W86))</f>
        <v>3-0-0</v>
      </c>
      <c r="X87" s="1" t="str">
        <f>IF(X86="","0-0-0",CONCATENATE(X86,"-",Y86,"-",Z86))</f>
        <v>3-2-1</v>
      </c>
      <c r="AA87" s="1" t="str">
        <f>IF(AA86="","0-0",CONCATENATE(AA86,AB86))</f>
        <v>L1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A00-000002000000}">
      <formula1>$AK$1:$AK$2</formula1>
    </dataValidation>
    <dataValidation type="list" allowBlank="1" showInputMessage="1" showErrorMessage="1" sqref="C2:C85" xr:uid="{00000000-0002-0000-CA00-000001000000}">
      <formula1>$AL$1:$AL$2</formula1>
    </dataValidation>
    <dataValidation type="list" allowBlank="1" showInputMessage="1" showErrorMessage="1" sqref="D2:D85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17</v>
      </c>
      <c r="E2" s="1">
        <v>1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22</v>
      </c>
      <c r="E3" s="1">
        <v>2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4</v>
      </c>
      <c r="E4" s="1">
        <v>4</v>
      </c>
      <c r="F4" s="1">
        <v>5</v>
      </c>
      <c r="G4" s="1" t="s">
        <v>78</v>
      </c>
      <c r="H4" s="1" t="s">
        <v>77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16</v>
      </c>
      <c r="E5" s="1">
        <v>5</v>
      </c>
      <c r="F5" s="1">
        <v>2</v>
      </c>
      <c r="G5" s="1" t="s">
        <v>77</v>
      </c>
      <c r="H5" s="1" t="s">
        <v>77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11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</v>
      </c>
      <c r="E7" s="1">
        <v>2</v>
      </c>
      <c r="F7" s="1">
        <v>5</v>
      </c>
      <c r="G7" s="1" t="s">
        <v>77</v>
      </c>
      <c r="H7" s="1" t="s">
        <v>77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8</v>
      </c>
      <c r="E8" s="1">
        <v>2</v>
      </c>
      <c r="F8" s="1">
        <v>3</v>
      </c>
      <c r="G8" s="1" t="s">
        <v>78</v>
      </c>
      <c r="H8" s="1" t="s">
        <v>78</v>
      </c>
      <c r="I8" s="1">
        <f t="shared" si="2"/>
        <v>2</v>
      </c>
      <c r="J8" s="1">
        <f t="shared" si="3"/>
        <v>2</v>
      </c>
      <c r="K8" s="1">
        <f t="shared" si="4"/>
        <v>0</v>
      </c>
      <c r="L8" s="1">
        <f t="shared" si="5"/>
        <v>3</v>
      </c>
      <c r="M8" s="1">
        <f t="shared" si="6"/>
        <v>0</v>
      </c>
      <c r="N8" s="1">
        <f t="shared" si="7"/>
        <v>2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0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3</v>
      </c>
      <c r="AC8" s="1" t="str">
        <f t="shared" si="1"/>
        <v>OTL</v>
      </c>
      <c r="AD8" s="1">
        <f t="shared" si="21"/>
        <v>2</v>
      </c>
      <c r="AE8" s="1">
        <f t="shared" si="22"/>
        <v>2</v>
      </c>
      <c r="AF8" s="1">
        <f t="shared" si="23"/>
        <v>3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8</v>
      </c>
    </row>
    <row r="10" spans="1:41" x14ac:dyDescent="0.3">
      <c r="A10" s="42">
        <v>46317</v>
      </c>
      <c r="B10" s="1">
        <v>9</v>
      </c>
      <c r="C10" s="1" t="s">
        <v>59</v>
      </c>
      <c r="D10" s="1" t="s">
        <v>29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46319</v>
      </c>
      <c r="B11" s="1">
        <v>10</v>
      </c>
      <c r="C11" s="1" t="s">
        <v>59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13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60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46336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46339</v>
      </c>
      <c r="B21" s="1">
        <v>20</v>
      </c>
      <c r="C21" s="1" t="s">
        <v>59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46341</v>
      </c>
      <c r="B22" s="1">
        <v>21</v>
      </c>
      <c r="C22" s="1" t="s">
        <v>59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17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21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11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59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60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59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46023</v>
      </c>
      <c r="B42" s="1">
        <v>41</v>
      </c>
      <c r="C42" s="1" t="s">
        <v>60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60</v>
      </c>
      <c r="D44" s="1" t="s">
        <v>20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46032</v>
      </c>
      <c r="B47" s="1">
        <v>46</v>
      </c>
      <c r="C47" s="1" t="s">
        <v>59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60</v>
      </c>
      <c r="D48" s="1" t="s">
        <v>10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46042</v>
      </c>
      <c r="B52" s="1">
        <v>51</v>
      </c>
      <c r="C52" s="1" t="s">
        <v>60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46043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46045</v>
      </c>
      <c r="B54" s="1">
        <v>53</v>
      </c>
      <c r="C54" s="1" t="s">
        <v>60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31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89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46055</v>
      </c>
      <c r="B59" s="1">
        <v>58</v>
      </c>
      <c r="C59" s="1" t="s">
        <v>59</v>
      </c>
      <c r="D59" s="1" t="s">
        <v>89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60</v>
      </c>
      <c r="D61" s="1" t="s">
        <v>14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60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46078</v>
      </c>
      <c r="B66" s="1">
        <v>65</v>
      </c>
      <c r="C66" s="1" t="s">
        <v>60</v>
      </c>
      <c r="D66" s="1" t="s">
        <v>20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46080</v>
      </c>
      <c r="B67" s="1">
        <v>66</v>
      </c>
      <c r="C67" s="1" t="s">
        <v>60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60</v>
      </c>
      <c r="D69" s="1" t="s">
        <v>89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46087</v>
      </c>
      <c r="B70" s="1">
        <v>69</v>
      </c>
      <c r="C70" s="1" t="s">
        <v>60</v>
      </c>
      <c r="D70" s="1" t="s">
        <v>17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20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46096</v>
      </c>
      <c r="B74" s="1">
        <v>73</v>
      </c>
      <c r="C74" s="1" t="s">
        <v>59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46098</v>
      </c>
      <c r="B75" s="1">
        <v>74</v>
      </c>
      <c r="C75" s="1" t="s">
        <v>59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12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59</v>
      </c>
      <c r="D78" s="1" t="s">
        <v>25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46113</v>
      </c>
      <c r="B81" s="1">
        <v>80</v>
      </c>
      <c r="C81" s="1" t="s">
        <v>60</v>
      </c>
      <c r="D81" s="1" t="s">
        <v>25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60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25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2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2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0</v>
      </c>
      <c r="T86" s="1">
        <f t="shared" si="100"/>
        <v>2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18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1-2-1</v>
      </c>
      <c r="R87" s="1" t="str">
        <f>IF(R86="","0-0-0",CONCATENATE(R86,"-",S86,"-",T86))</f>
        <v>1-0-2</v>
      </c>
      <c r="U87" s="1" t="str">
        <f>IF(U86="","0-0-0",CONCATENATE(U86,"-",V86,"-",W86))</f>
        <v>1-1-0</v>
      </c>
      <c r="X87" s="1" t="str">
        <f>IF(X86="","0-0-0",CONCATENATE(X86,"-",Y86,"-",Z86))</f>
        <v>1-2-1</v>
      </c>
      <c r="AA87" s="1" t="str">
        <f>IF(AA86="","0-0",CONCATENATE(AA86,AB86))</f>
        <v>L3</v>
      </c>
      <c r="AD87" s="1" t="str">
        <f>IF(AD86="","0-0-0",CONCATENATE(AD86,"-",AE86,"-",AF86))</f>
        <v>2-2-3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B00-000002000000}">
      <formula1>$AK$1:$AK$2</formula1>
    </dataValidation>
    <dataValidation type="list" allowBlank="1" showInputMessage="1" showErrorMessage="1" sqref="C2:C85" xr:uid="{00000000-0002-0000-CB00-000000000000}">
      <formula1>$AL$1:$AL$2</formula1>
    </dataValidation>
    <dataValidation type="list" allowBlank="1" showInputMessage="1" showErrorMessage="1" sqref="D2:D85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10</v>
      </c>
      <c r="E2" s="1">
        <v>3</v>
      </c>
      <c r="F2" s="1">
        <v>2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13</v>
      </c>
      <c r="E3" s="1">
        <v>0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13</v>
      </c>
    </row>
    <row r="4" spans="1:41" x14ac:dyDescent="0.3">
      <c r="A4" s="42">
        <v>46301</v>
      </c>
      <c r="B4" s="1">
        <v>3</v>
      </c>
      <c r="C4" s="1" t="s">
        <v>60</v>
      </c>
      <c r="D4" s="1" t="s">
        <v>89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46305</v>
      </c>
      <c r="B5" s="1">
        <v>4</v>
      </c>
      <c r="C5" s="1" t="s">
        <v>60</v>
      </c>
      <c r="D5" s="1" t="s">
        <v>3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46307</v>
      </c>
      <c r="B6" s="1">
        <v>5</v>
      </c>
      <c r="C6" s="1" t="s">
        <v>60</v>
      </c>
      <c r="D6" s="1" t="s">
        <v>11</v>
      </c>
      <c r="E6" s="1">
        <v>1</v>
      </c>
      <c r="F6" s="1">
        <v>4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21</v>
      </c>
      <c r="E7" s="1">
        <v>5</v>
      </c>
      <c r="F7" s="1">
        <v>4</v>
      </c>
      <c r="G7" s="1" t="s">
        <v>78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12</v>
      </c>
      <c r="E8" s="1">
        <v>7</v>
      </c>
      <c r="F8" s="1">
        <v>1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24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31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18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22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46323</v>
      </c>
      <c r="B14" s="1">
        <v>13</v>
      </c>
      <c r="C14" s="1" t="s">
        <v>59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46336</v>
      </c>
      <c r="B20" s="1">
        <v>19</v>
      </c>
      <c r="C20" s="1" t="s">
        <v>59</v>
      </c>
      <c r="D20" s="1" t="s">
        <v>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46344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46347</v>
      </c>
      <c r="B24" s="1">
        <v>23</v>
      </c>
      <c r="C24" s="1" t="s">
        <v>59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46349</v>
      </c>
      <c r="B25" s="1">
        <v>24</v>
      </c>
      <c r="C25" s="1" t="s">
        <v>60</v>
      </c>
      <c r="D25" s="1" t="s">
        <v>23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46357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46359</v>
      </c>
      <c r="B30" s="1">
        <v>29</v>
      </c>
      <c r="C30" s="1" t="s">
        <v>59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46361</v>
      </c>
      <c r="B31" s="1">
        <v>30</v>
      </c>
      <c r="C31" s="1" t="s">
        <v>59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46363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46375</v>
      </c>
      <c r="B37" s="1">
        <v>36</v>
      </c>
      <c r="C37" s="1" t="s">
        <v>60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60</v>
      </c>
      <c r="D38" s="1" t="s">
        <v>15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28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29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89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46023</v>
      </c>
      <c r="B43" s="1">
        <v>42</v>
      </c>
      <c r="C43" s="1" t="s">
        <v>59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23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59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46041</v>
      </c>
      <c r="B51" s="1">
        <v>50</v>
      </c>
      <c r="C51" s="1" t="s">
        <v>60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60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59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46048</v>
      </c>
      <c r="B55" s="1">
        <v>54</v>
      </c>
      <c r="C55" s="1" t="s">
        <v>60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59</v>
      </c>
      <c r="D56" s="1" t="s">
        <v>20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59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46056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46066</v>
      </c>
      <c r="B60" s="1">
        <v>59</v>
      </c>
      <c r="C60" s="1" t="s">
        <v>59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46069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46071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46073</v>
      </c>
      <c r="B63" s="1">
        <v>62</v>
      </c>
      <c r="C63" s="1" t="s">
        <v>60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46076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60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46086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46092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46094</v>
      </c>
      <c r="B73" s="1">
        <v>72</v>
      </c>
      <c r="C73" s="1" t="s">
        <v>59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60</v>
      </c>
      <c r="D74" s="1" t="s">
        <v>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59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46110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46112</v>
      </c>
      <c r="B80" s="1">
        <v>79</v>
      </c>
      <c r="C80" s="1" t="s">
        <v>60</v>
      </c>
      <c r="D80" s="1" t="s">
        <v>17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60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2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23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3-2-0</v>
      </c>
      <c r="R87" s="1" t="str">
        <f>IF(R86="","0-0-0",CONCATENATE(R86,"-",S86,"-",T86))</f>
        <v>1-1-0</v>
      </c>
      <c r="U87" s="1" t="str">
        <f>IF(U86="","0-0-0",CONCATENATE(U86,"-",V86,"-",W86))</f>
        <v>2-1-0</v>
      </c>
      <c r="X87" s="1" t="str">
        <f>IF(X86="","0-0-0",CONCATENATE(X86,"-",Y86,"-",Z86))</f>
        <v>3-2-0</v>
      </c>
      <c r="AA87" s="1" t="str">
        <f>IF(AA86="","0-0",CONCATENATE(AA86,AB86))</f>
        <v>W2</v>
      </c>
      <c r="AD87" s="1" t="str">
        <f>IF(AD86="","0-0-0",CONCATENATE(AD86,"-",AE86,"-",AF86))</f>
        <v>4-3-0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C00-000002000000}">
      <formula1>$AK$1:$AK$2</formula1>
    </dataValidation>
    <dataValidation type="list" allowBlank="1" showInputMessage="1" showErrorMessage="1" sqref="C2:C85" xr:uid="{00000000-0002-0000-CC00-000001000000}">
      <formula1>$AL$1:$AL$2</formula1>
    </dataValidation>
    <dataValidation type="list" allowBlank="1" showInputMessage="1" showErrorMessage="1" sqref="D2:D85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4</v>
      </c>
      <c r="E2" s="1">
        <v>1</v>
      </c>
      <c r="F2" s="1">
        <v>2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14</v>
      </c>
      <c r="E3" s="1">
        <v>6</v>
      </c>
      <c r="F3" s="1">
        <v>0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12</v>
      </c>
      <c r="E4" s="1">
        <v>2</v>
      </c>
      <c r="F4" s="1">
        <v>5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25</v>
      </c>
      <c r="E5" s="1">
        <v>4</v>
      </c>
      <c r="F5" s="1">
        <v>1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5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3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3</v>
      </c>
      <c r="E7" s="1">
        <v>3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11</v>
      </c>
      <c r="E8" s="1">
        <v>1</v>
      </c>
      <c r="F8" s="1">
        <v>2</v>
      </c>
      <c r="G8" s="1" t="s">
        <v>78</v>
      </c>
      <c r="H8" s="1" t="s">
        <v>78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12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31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11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18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46320</v>
      </c>
      <c r="B12" s="1">
        <v>11</v>
      </c>
      <c r="C12" s="1" t="s">
        <v>59</v>
      </c>
      <c r="D12" s="1" t="s">
        <v>22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46322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60</v>
      </c>
      <c r="D15" s="1" t="s">
        <v>20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46335</v>
      </c>
      <c r="B18" s="1">
        <v>17</v>
      </c>
      <c r="C18" s="1" t="s">
        <v>59</v>
      </c>
      <c r="D18" s="1" t="s">
        <v>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3">
      <c r="A19" s="42">
        <v>46338</v>
      </c>
      <c r="B19" s="1">
        <v>18</v>
      </c>
      <c r="C19" s="1" t="s">
        <v>59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46340</v>
      </c>
      <c r="B20" s="1">
        <v>19</v>
      </c>
      <c r="C20" s="1" t="s">
        <v>59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46343</v>
      </c>
      <c r="B21" s="1">
        <v>20</v>
      </c>
      <c r="C21" s="1" t="s">
        <v>60</v>
      </c>
      <c r="D21" s="1" t="s">
        <v>23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46345</v>
      </c>
      <c r="B22" s="1">
        <v>21</v>
      </c>
      <c r="C22" s="1" t="s">
        <v>59</v>
      </c>
      <c r="D22" s="1" t="s">
        <v>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46349</v>
      </c>
      <c r="B24" s="1">
        <v>23</v>
      </c>
      <c r="C24" s="1" t="s">
        <v>60</v>
      </c>
      <c r="D24" s="1" t="s">
        <v>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46357</v>
      </c>
      <c r="B28" s="1">
        <v>27</v>
      </c>
      <c r="C28" s="1" t="s">
        <v>60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46366</v>
      </c>
      <c r="B32" s="1">
        <v>31</v>
      </c>
      <c r="C32" s="1" t="s">
        <v>60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89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46372</v>
      </c>
      <c r="B35" s="1">
        <v>34</v>
      </c>
      <c r="C35" s="1" t="s">
        <v>59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46374</v>
      </c>
      <c r="B36" s="1">
        <v>35</v>
      </c>
      <c r="C36" s="1" t="s">
        <v>59</v>
      </c>
      <c r="D36" s="1" t="s">
        <v>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46386</v>
      </c>
      <c r="B41" s="1">
        <v>40</v>
      </c>
      <c r="C41" s="1" t="s">
        <v>60</v>
      </c>
      <c r="D41" s="1" t="s">
        <v>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46389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46392</v>
      </c>
      <c r="B43" s="1">
        <v>42</v>
      </c>
      <c r="C43" s="1" t="s">
        <v>59</v>
      </c>
      <c r="D43" s="1" t="s">
        <v>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46400</v>
      </c>
      <c r="B46" s="1">
        <v>45</v>
      </c>
      <c r="C46" s="1" t="s">
        <v>60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46402</v>
      </c>
      <c r="B47" s="1">
        <v>46</v>
      </c>
      <c r="C47" s="1" t="s">
        <v>60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46407</v>
      </c>
      <c r="B50" s="1">
        <v>49</v>
      </c>
      <c r="C50" s="1" t="s">
        <v>60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46409</v>
      </c>
      <c r="B51" s="1">
        <v>50</v>
      </c>
      <c r="C51" s="1" t="s">
        <v>59</v>
      </c>
      <c r="D51" s="1" t="s">
        <v>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46410</v>
      </c>
      <c r="B52" s="1">
        <v>51</v>
      </c>
      <c r="C52" s="1" t="s">
        <v>60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59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46415</v>
      </c>
      <c r="B54" s="1">
        <v>53</v>
      </c>
      <c r="C54" s="1" t="s">
        <v>59</v>
      </c>
      <c r="D54" s="1" t="s">
        <v>26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46417</v>
      </c>
      <c r="B55" s="1">
        <v>54</v>
      </c>
      <c r="C55" s="1" t="s">
        <v>59</v>
      </c>
      <c r="D55" s="1" t="s">
        <v>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46419</v>
      </c>
      <c r="B56" s="1">
        <v>55</v>
      </c>
      <c r="C56" s="1" t="s">
        <v>59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46421</v>
      </c>
      <c r="B57" s="1">
        <v>56</v>
      </c>
      <c r="C57" s="1" t="s">
        <v>59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46430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60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46433</v>
      </c>
      <c r="B60" s="1">
        <v>59</v>
      </c>
      <c r="C60" s="1" t="s">
        <v>60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16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46440</v>
      </c>
      <c r="B63" s="1">
        <v>62</v>
      </c>
      <c r="C63" s="1" t="s">
        <v>59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46441</v>
      </c>
      <c r="B64" s="1">
        <v>63</v>
      </c>
      <c r="C64" s="1" t="s">
        <v>59</v>
      </c>
      <c r="D64" s="1" t="s">
        <v>25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46444</v>
      </c>
      <c r="B65" s="1">
        <v>64</v>
      </c>
      <c r="C65" s="1" t="s">
        <v>60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46445</v>
      </c>
      <c r="B66" s="1">
        <v>65</v>
      </c>
      <c r="C66" s="1" t="s">
        <v>59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46447</v>
      </c>
      <c r="B67" s="1">
        <v>66</v>
      </c>
      <c r="C67" s="1" t="s">
        <v>60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46453</v>
      </c>
      <c r="B69" s="1">
        <v>68</v>
      </c>
      <c r="C69" s="1" t="s">
        <v>60</v>
      </c>
      <c r="D69" s="1" t="s">
        <v>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60</v>
      </c>
      <c r="D70" s="1" t="s">
        <v>16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46458</v>
      </c>
      <c r="B71" s="1">
        <v>70</v>
      </c>
      <c r="C71" s="1" t="s">
        <v>59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59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59</v>
      </c>
      <c r="D74" s="1" t="s">
        <v>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10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59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60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59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60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14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23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0</v>
      </c>
      <c r="S86" s="1">
        <f t="shared" si="100"/>
        <v>2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1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20</v>
      </c>
      <c r="F87" s="1">
        <f>SUM(F2:F85)</f>
        <v>17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0-2-1</v>
      </c>
      <c r="U87" s="1" t="str">
        <f>IF(U86="","0-0-0",CONCATENATE(U86,"-",V86,"-",W86))</f>
        <v>1-1-0</v>
      </c>
      <c r="X87" s="1" t="str">
        <f>IF(X86="","0-0-0",CONCATENATE(X86,"-",Y86,"-",Z86))</f>
        <v>1-3-1</v>
      </c>
      <c r="AA87" s="1" t="str">
        <f>IF(AA86="","0-0",CONCATENATE(AA86,AB86))</f>
        <v>L1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D00-000002000000}">
      <formula1>$AK$1:$AK$2</formula1>
    </dataValidation>
    <dataValidation type="list" allowBlank="1" showInputMessage="1" showErrorMessage="1" sqref="C2:C85" xr:uid="{00000000-0002-0000-CD00-000000000000}">
      <formula1>$AL$1:$AL$2</formula1>
    </dataValidation>
    <dataValidation type="list" allowBlank="1" showInputMessage="1" showErrorMessage="1" sqref="D2:D85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29</v>
      </c>
      <c r="E2" s="1">
        <v>0</v>
      </c>
      <c r="F2" s="1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5</v>
      </c>
      <c r="E3" s="1">
        <v>5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46297</v>
      </c>
      <c r="B4" s="1">
        <v>3</v>
      </c>
      <c r="C4" s="1" t="s">
        <v>59</v>
      </c>
      <c r="D4" s="1" t="s">
        <v>21</v>
      </c>
      <c r="E4" s="1">
        <v>2</v>
      </c>
      <c r="F4" s="1">
        <v>0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89</v>
      </c>
      <c r="E5" s="1">
        <v>4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3">
      <c r="A6" s="42">
        <v>46301</v>
      </c>
      <c r="B6" s="1">
        <v>5</v>
      </c>
      <c r="C6" s="1" t="s">
        <v>60</v>
      </c>
      <c r="D6" s="1" t="s">
        <v>13</v>
      </c>
      <c r="E6" s="1">
        <v>5</v>
      </c>
      <c r="F6" s="1">
        <v>2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46304</v>
      </c>
      <c r="B7" s="1">
        <v>6</v>
      </c>
      <c r="C7" s="1" t="s">
        <v>59</v>
      </c>
      <c r="D7" s="1" t="s">
        <v>1</v>
      </c>
      <c r="E7" s="1">
        <v>1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3</v>
      </c>
      <c r="E8" s="1">
        <v>6</v>
      </c>
      <c r="F8" s="1">
        <v>2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5</v>
      </c>
      <c r="E9" s="1">
        <v>4</v>
      </c>
      <c r="F9" s="1">
        <v>1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5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14</v>
      </c>
      <c r="E10" s="1">
        <v>1</v>
      </c>
      <c r="F10" s="1">
        <v>7</v>
      </c>
      <c r="G10" s="1" t="s">
        <v>77</v>
      </c>
      <c r="H10" s="1" t="s">
        <v>77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23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31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4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11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46321</v>
      </c>
      <c r="B15" s="1">
        <v>14</v>
      </c>
      <c r="C15" s="1" t="s">
        <v>60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46327</v>
      </c>
      <c r="B16" s="1">
        <v>15</v>
      </c>
      <c r="C16" s="1" t="s">
        <v>60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60</v>
      </c>
      <c r="D17" s="1" t="s">
        <v>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10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3">
      <c r="A20" s="42">
        <v>46335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46337</v>
      </c>
      <c r="B21" s="1">
        <v>20</v>
      </c>
      <c r="C21" s="1" t="s">
        <v>59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46339</v>
      </c>
      <c r="B22" s="1">
        <v>21</v>
      </c>
      <c r="C22" s="1" t="s">
        <v>59</v>
      </c>
      <c r="D22" s="1" t="s">
        <v>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59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46359</v>
      </c>
      <c r="B29" s="1">
        <v>28</v>
      </c>
      <c r="C29" s="1" t="s">
        <v>60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46363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46367</v>
      </c>
      <c r="B33" s="1">
        <v>32</v>
      </c>
      <c r="C33" s="1" t="s">
        <v>59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46369</v>
      </c>
      <c r="B34" s="1">
        <v>33</v>
      </c>
      <c r="C34" s="1" t="s">
        <v>60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59</v>
      </c>
      <c r="D35" s="1" t="s">
        <v>14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59</v>
      </c>
      <c r="D36" s="1" t="s">
        <v>10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60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59</v>
      </c>
      <c r="D42" s="1" t="s">
        <v>22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46392</v>
      </c>
      <c r="B44" s="1">
        <v>43</v>
      </c>
      <c r="C44" s="1" t="s">
        <v>59</v>
      </c>
      <c r="D44" s="1" t="s">
        <v>23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46394</v>
      </c>
      <c r="B45" s="1">
        <v>44</v>
      </c>
      <c r="C45" s="1" t="s">
        <v>60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46396</v>
      </c>
      <c r="B46" s="1">
        <v>45</v>
      </c>
      <c r="C46" s="1" t="s">
        <v>59</v>
      </c>
      <c r="D46" s="1" t="s">
        <v>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46398</v>
      </c>
      <c r="B47" s="1">
        <v>46</v>
      </c>
      <c r="C47" s="1" t="s">
        <v>59</v>
      </c>
      <c r="D47" s="1" t="s">
        <v>18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46403</v>
      </c>
      <c r="B49" s="1">
        <v>48</v>
      </c>
      <c r="C49" s="1" t="s">
        <v>60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46404</v>
      </c>
      <c r="B50" s="1">
        <v>49</v>
      </c>
      <c r="C50" s="1" t="s">
        <v>60</v>
      </c>
      <c r="D50" s="1" t="s">
        <v>22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46406</v>
      </c>
      <c r="B51" s="1">
        <v>50</v>
      </c>
      <c r="C51" s="1" t="s">
        <v>60</v>
      </c>
      <c r="D51" s="1" t="s">
        <v>10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46408</v>
      </c>
      <c r="B52" s="1">
        <v>51</v>
      </c>
      <c r="C52" s="1" t="s">
        <v>59</v>
      </c>
      <c r="D52" s="1" t="s">
        <v>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46412</v>
      </c>
      <c r="B54" s="1">
        <v>53</v>
      </c>
      <c r="C54" s="1" t="s">
        <v>60</v>
      </c>
      <c r="D54" s="1" t="s">
        <v>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46416</v>
      </c>
      <c r="B56" s="1">
        <v>55</v>
      </c>
      <c r="C56" s="1" t="s">
        <v>59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46421</v>
      </c>
      <c r="B58" s="1">
        <v>57</v>
      </c>
      <c r="C58" s="1" t="s">
        <v>60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46430</v>
      </c>
      <c r="B59" s="1">
        <v>58</v>
      </c>
      <c r="C59" s="1" t="s">
        <v>60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46432</v>
      </c>
      <c r="B60" s="1">
        <v>59</v>
      </c>
      <c r="C60" s="1" t="s">
        <v>59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46446</v>
      </c>
      <c r="B67" s="1">
        <v>66</v>
      </c>
      <c r="C67" s="1" t="s">
        <v>59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89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11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60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46467</v>
      </c>
      <c r="B77" s="1">
        <v>76</v>
      </c>
      <c r="C77" s="1" t="s">
        <v>60</v>
      </c>
      <c r="D77" s="1" t="s">
        <v>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46469</v>
      </c>
      <c r="B78" s="1">
        <v>77</v>
      </c>
      <c r="C78" s="1" t="s">
        <v>59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46471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46473</v>
      </c>
      <c r="B80" s="1">
        <v>79</v>
      </c>
      <c r="C80" s="1" t="s">
        <v>59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46475</v>
      </c>
      <c r="B81" s="1">
        <v>80</v>
      </c>
      <c r="C81" s="1" t="s">
        <v>60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19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46483</v>
      </c>
      <c r="B84" s="1">
        <v>83</v>
      </c>
      <c r="C84" s="1" t="s">
        <v>60</v>
      </c>
      <c r="D84" s="1" t="s">
        <v>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5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2</v>
      </c>
      <c r="W86" s="1">
        <f t="shared" si="100"/>
        <v>0</v>
      </c>
      <c r="X86" s="1">
        <f t="shared" si="100"/>
        <v>4</v>
      </c>
      <c r="Y86" s="1">
        <f t="shared" si="100"/>
        <v>3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5-0-0</v>
      </c>
      <c r="R87" s="1" t="str">
        <f>IF(R86="","0-0-0",CONCATENATE(R86,"-",S86,"-",T86))</f>
        <v>1-3-0</v>
      </c>
      <c r="U87" s="1" t="str">
        <f>IF(U86="","0-0-0",CONCATENATE(U86,"-",V86,"-",W86))</f>
        <v>1-2-0</v>
      </c>
      <c r="X87" s="1" t="str">
        <f>IF(X86="","0-0-0",CONCATENATE(X86,"-",Y86,"-",Z86))</f>
        <v>4-3-0</v>
      </c>
      <c r="AA87" s="1" t="str">
        <f>IF(AA86="","0-0",CONCATENATE(AA86,AB86))</f>
        <v>L1</v>
      </c>
      <c r="AD87" s="1" t="str">
        <f>IF(AD86="","0-0-0",CONCATENATE(AD86,"-",AE86,"-",AF86))</f>
        <v>6-3-0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E00-000002000000}">
      <formula1>$AK$1:$AK$2</formula1>
    </dataValidation>
    <dataValidation type="list" allowBlank="1" showInputMessage="1" showErrorMessage="1" sqref="C2:C85" xr:uid="{00000000-0002-0000-CE00-000001000000}">
      <formula1>$AL$1:$AL$2</formula1>
    </dataValidation>
    <dataValidation type="list" allowBlank="1" showInputMessage="1" showErrorMessage="1" sqref="D2:D85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46298</v>
      </c>
      <c r="B2" s="1">
        <v>1</v>
      </c>
      <c r="C2" s="1" t="s">
        <v>59</v>
      </c>
      <c r="D2" s="1" t="s">
        <v>4</v>
      </c>
      <c r="E2" s="1">
        <v>3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46300</v>
      </c>
      <c r="B3" s="1">
        <v>2</v>
      </c>
      <c r="C3" s="1" t="s">
        <v>59</v>
      </c>
      <c r="D3" s="1" t="s">
        <v>29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21</v>
      </c>
      <c r="E4" s="1">
        <v>3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10</v>
      </c>
      <c r="E5" s="1">
        <v>2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15</v>
      </c>
      <c r="E6" s="1">
        <v>3</v>
      </c>
      <c r="F6" s="1">
        <v>2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3">
      <c r="A7" s="42">
        <v>46307</v>
      </c>
      <c r="B7" s="1">
        <v>6</v>
      </c>
      <c r="C7" s="1" t="s">
        <v>59</v>
      </c>
      <c r="D7" s="1" t="s">
        <v>14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6</v>
      </c>
      <c r="E8" s="1">
        <v>2</v>
      </c>
      <c r="F8" s="1">
        <v>7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13</v>
      </c>
      <c r="E9" s="1">
        <v>2</v>
      </c>
      <c r="F9" s="1">
        <v>1</v>
      </c>
      <c r="G9" s="1" t="s">
        <v>78</v>
      </c>
      <c r="H9" s="1" t="s">
        <v>78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2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46316</v>
      </c>
      <c r="B11" s="1">
        <v>10</v>
      </c>
      <c r="C11" s="1" t="s">
        <v>60</v>
      </c>
      <c r="D11" s="1" t="s">
        <v>19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10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46322</v>
      </c>
      <c r="B14" s="1">
        <v>13</v>
      </c>
      <c r="C14" s="1" t="s">
        <v>59</v>
      </c>
      <c r="D14" s="1" t="s">
        <v>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46326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59</v>
      </c>
      <c r="D17" s="1" t="s">
        <v>31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28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89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46343</v>
      </c>
      <c r="B23" s="1">
        <v>22</v>
      </c>
      <c r="C23" s="1" t="s">
        <v>59</v>
      </c>
      <c r="D23" s="1" t="s">
        <v>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27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59</v>
      </c>
      <c r="D30" s="1" t="s">
        <v>15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60</v>
      </c>
      <c r="D36" s="1" t="s">
        <v>20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60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46383</v>
      </c>
      <c r="B40" s="1">
        <v>39</v>
      </c>
      <c r="C40" s="1" t="s">
        <v>59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59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46028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46030</v>
      </c>
      <c r="B46" s="1">
        <v>45</v>
      </c>
      <c r="C46" s="1" t="s">
        <v>59</v>
      </c>
      <c r="D46" s="1" t="s">
        <v>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46034</v>
      </c>
      <c r="B47" s="1">
        <v>46</v>
      </c>
      <c r="C47" s="1" t="s">
        <v>59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46042</v>
      </c>
      <c r="B51" s="1">
        <v>50</v>
      </c>
      <c r="C51" s="1" t="s">
        <v>60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26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60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46052</v>
      </c>
      <c r="B55" s="1">
        <v>54</v>
      </c>
      <c r="C55" s="1" t="s">
        <v>60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46062</v>
      </c>
      <c r="B56" s="1">
        <v>55</v>
      </c>
      <c r="C56" s="1" t="s">
        <v>60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46064</v>
      </c>
      <c r="B57" s="1">
        <v>56</v>
      </c>
      <c r="C57" s="1" t="s">
        <v>59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46068</v>
      </c>
      <c r="B59" s="1">
        <v>58</v>
      </c>
      <c r="C59" s="1" t="s">
        <v>59</v>
      </c>
      <c r="D59" s="1" t="s">
        <v>17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46070</v>
      </c>
      <c r="B60" s="1">
        <v>59</v>
      </c>
      <c r="C60" s="1" t="s">
        <v>59</v>
      </c>
      <c r="D60" s="1" t="s">
        <v>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46071</v>
      </c>
      <c r="B61" s="1">
        <v>60</v>
      </c>
      <c r="C61" s="1" t="s">
        <v>59</v>
      </c>
      <c r="D61" s="1" t="s">
        <v>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46075</v>
      </c>
      <c r="B63" s="1">
        <v>62</v>
      </c>
      <c r="C63" s="1" t="s">
        <v>59</v>
      </c>
      <c r="D63" s="1" t="s">
        <v>20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46079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46083</v>
      </c>
      <c r="B66" s="1">
        <v>65</v>
      </c>
      <c r="C66" s="1" t="s">
        <v>59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60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60</v>
      </c>
      <c r="D68" s="1" t="s">
        <v>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46095</v>
      </c>
      <c r="B73" s="1">
        <v>72</v>
      </c>
      <c r="C73" s="1" t="s">
        <v>60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46105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46106</v>
      </c>
      <c r="B78" s="1">
        <v>77</v>
      </c>
      <c r="C78" s="1" t="s">
        <v>59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59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46114</v>
      </c>
      <c r="B81" s="1">
        <v>80</v>
      </c>
      <c r="C81" s="1" t="s">
        <v>59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16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2</v>
      </c>
      <c r="L86" s="1">
        <f t="shared" si="99"/>
        <v>0</v>
      </c>
      <c r="M86" s="1">
        <f t="shared" si="99"/>
        <v>2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2</v>
      </c>
      <c r="V86" s="1">
        <f t="shared" si="100"/>
        <v>1</v>
      </c>
      <c r="W86" s="1">
        <f t="shared" si="100"/>
        <v>0</v>
      </c>
      <c r="X86" s="1">
        <f t="shared" si="100"/>
        <v>5</v>
      </c>
      <c r="Y86" s="1">
        <f t="shared" si="100"/>
        <v>1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41</v>
      </c>
      <c r="E87" s="1">
        <f>SUM(E2:E85)</f>
        <v>23</v>
      </c>
      <c r="F87" s="1">
        <f>SUM(F2:F85)</f>
        <v>20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3-1-0</v>
      </c>
      <c r="U87" s="1" t="str">
        <f>IF(U86="","0-0-0",CONCATENATE(U86,"-",V86,"-",W86))</f>
        <v>2-1-0</v>
      </c>
      <c r="X87" s="1" t="str">
        <f>IF(X86="","0-0-0",CONCATENATE(X86,"-",Y86,"-",Z86))</f>
        <v>5-1-0</v>
      </c>
      <c r="AA87" s="1" t="str">
        <f>IF(AA86="","0-0",CONCATENATE(AA86,AB86))</f>
        <v>W1</v>
      </c>
      <c r="AD87" s="1" t="str">
        <f>IF(AD86="","0-0-0",CONCATENATE(AD86,"-",AE86,"-",AF86))</f>
        <v>6-2-0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CF00-000002000000}">
      <formula1>$AK$1:$AK$2</formula1>
    </dataValidation>
    <dataValidation type="list" allowBlank="1" showInputMessage="1" showErrorMessage="1" sqref="C2:C85" xr:uid="{00000000-0002-0000-CF00-000000000000}">
      <formula1>$AL$1:$AL$2</formula1>
    </dataValidation>
    <dataValidation type="list" allowBlank="1" showInputMessage="1" showErrorMessage="1" sqref="D2:D85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60</v>
      </c>
      <c r="D2" s="1" t="s">
        <v>9</v>
      </c>
      <c r="E2" s="1">
        <v>0</v>
      </c>
      <c r="F2" s="1">
        <v>7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46296</v>
      </c>
      <c r="B3" s="1">
        <v>2</v>
      </c>
      <c r="C3" s="1" t="s">
        <v>59</v>
      </c>
      <c r="D3" s="1" t="s">
        <v>14</v>
      </c>
      <c r="E3" s="1">
        <v>2</v>
      </c>
      <c r="F3" s="1">
        <v>3</v>
      </c>
      <c r="G3" s="1" t="s">
        <v>78</v>
      </c>
      <c r="H3" s="1" t="s">
        <v>77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26</v>
      </c>
      <c r="E4" s="1">
        <v>2</v>
      </c>
      <c r="F4" s="1">
        <v>3</v>
      </c>
      <c r="G4" s="1" t="s">
        <v>78</v>
      </c>
      <c r="H4" s="1" t="s">
        <v>77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1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0</v>
      </c>
      <c r="V4" s="1">
        <f t="shared" si="15"/>
        <v>1</v>
      </c>
      <c r="W4" s="1">
        <f t="shared" si="16"/>
        <v>2</v>
      </c>
      <c r="X4" s="1">
        <f t="shared" si="17"/>
        <v>0</v>
      </c>
      <c r="Y4" s="1">
        <f t="shared" si="18"/>
        <v>1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OTL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46300</v>
      </c>
      <c r="B5" s="1">
        <v>4</v>
      </c>
      <c r="C5" s="1" t="s">
        <v>59</v>
      </c>
      <c r="D5" s="1" t="s">
        <v>5</v>
      </c>
      <c r="E5" s="1">
        <v>1</v>
      </c>
      <c r="F5" s="1">
        <v>4</v>
      </c>
      <c r="G5" s="1" t="s">
        <v>77</v>
      </c>
      <c r="H5" s="1" t="s">
        <v>77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1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1</v>
      </c>
      <c r="W5" s="1">
        <f t="shared" si="16"/>
        <v>2</v>
      </c>
      <c r="X5" s="1">
        <f t="shared" si="17"/>
        <v>0</v>
      </c>
      <c r="Y5" s="1">
        <f t="shared" si="18"/>
        <v>2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11</v>
      </c>
      <c r="E6" s="1">
        <v>1</v>
      </c>
      <c r="F6" s="1">
        <v>2</v>
      </c>
      <c r="G6" s="1" t="s">
        <v>77</v>
      </c>
      <c r="H6" s="1" t="s">
        <v>77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1</v>
      </c>
      <c r="Q6" s="1">
        <f t="shared" si="10"/>
        <v>1</v>
      </c>
      <c r="R6" s="1">
        <f t="shared" si="11"/>
        <v>0</v>
      </c>
      <c r="S6" s="1">
        <f t="shared" si="12"/>
        <v>2</v>
      </c>
      <c r="T6" s="1">
        <f t="shared" si="13"/>
        <v>1</v>
      </c>
      <c r="U6" s="1">
        <f t="shared" si="14"/>
        <v>0</v>
      </c>
      <c r="V6" s="1">
        <f t="shared" si="15"/>
        <v>1</v>
      </c>
      <c r="W6" s="1">
        <f t="shared" si="16"/>
        <v>2</v>
      </c>
      <c r="X6" s="1">
        <f t="shared" si="17"/>
        <v>0</v>
      </c>
      <c r="Y6" s="1">
        <f t="shared" si="18"/>
        <v>3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9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29</v>
      </c>
      <c r="E7" s="1">
        <v>1</v>
      </c>
      <c r="F7" s="1">
        <v>5</v>
      </c>
      <c r="G7" s="1" t="s">
        <v>77</v>
      </c>
      <c r="H7" s="1" t="s">
        <v>77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3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2</v>
      </c>
      <c r="X7" s="1">
        <f t="shared" si="17"/>
        <v>0</v>
      </c>
      <c r="Y7" s="1">
        <f t="shared" si="18"/>
        <v>4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46306</v>
      </c>
      <c r="B8" s="1">
        <v>7</v>
      </c>
      <c r="C8" s="1" t="s">
        <v>60</v>
      </c>
      <c r="D8" s="1" t="s">
        <v>26</v>
      </c>
      <c r="E8" s="1">
        <v>1</v>
      </c>
      <c r="F8" s="1">
        <v>4</v>
      </c>
      <c r="G8" s="1" t="s">
        <v>77</v>
      </c>
      <c r="H8" s="1" t="s">
        <v>77</v>
      </c>
      <c r="I8" s="1">
        <f t="shared" si="2"/>
        <v>0</v>
      </c>
      <c r="J8" s="1">
        <f t="shared" si="3"/>
        <v>5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3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2</v>
      </c>
      <c r="X8" s="1">
        <f t="shared" si="17"/>
        <v>0</v>
      </c>
      <c r="Y8" s="1">
        <f t="shared" si="18"/>
        <v>5</v>
      </c>
      <c r="Z8" s="1">
        <f t="shared" si="19"/>
        <v>2</v>
      </c>
      <c r="AA8" s="1" t="str">
        <f t="shared" si="0"/>
        <v>L</v>
      </c>
      <c r="AB8" s="1">
        <f t="shared" si="20"/>
        <v>7</v>
      </c>
      <c r="AC8" s="1" t="str">
        <f t="shared" si="1"/>
        <v>L</v>
      </c>
      <c r="AD8" s="1">
        <f t="shared" si="21"/>
        <v>0</v>
      </c>
      <c r="AE8" s="1">
        <f t="shared" si="22"/>
        <v>5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3">
      <c r="A9" s="42">
        <v>46308</v>
      </c>
      <c r="B9" s="1">
        <v>8</v>
      </c>
      <c r="C9" s="1" t="s">
        <v>60</v>
      </c>
      <c r="D9" s="1" t="s">
        <v>7</v>
      </c>
      <c r="E9" s="1">
        <v>2</v>
      </c>
      <c r="F9" s="1">
        <v>3</v>
      </c>
      <c r="G9" s="1" t="s">
        <v>78</v>
      </c>
      <c r="H9" s="1" t="s">
        <v>78</v>
      </c>
      <c r="I9" s="1">
        <f t="shared" si="2"/>
        <v>0</v>
      </c>
      <c r="J9" s="1">
        <f t="shared" si="3"/>
        <v>5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0</v>
      </c>
      <c r="S9" s="1">
        <f t="shared" si="12"/>
        <v>3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2</v>
      </c>
      <c r="X9" s="1">
        <f t="shared" si="17"/>
        <v>0</v>
      </c>
      <c r="Y9" s="1">
        <f t="shared" si="18"/>
        <v>5</v>
      </c>
      <c r="Z9" s="1">
        <f t="shared" si="19"/>
        <v>2</v>
      </c>
      <c r="AA9" s="1" t="str">
        <f t="shared" si="0"/>
        <v>L</v>
      </c>
      <c r="AB9" s="1">
        <f t="shared" si="20"/>
        <v>8</v>
      </c>
      <c r="AC9" s="1" t="str">
        <f t="shared" si="1"/>
        <v>OTL</v>
      </c>
      <c r="AD9" s="1">
        <f t="shared" si="21"/>
        <v>0</v>
      </c>
      <c r="AE9" s="1">
        <f t="shared" si="22"/>
        <v>5</v>
      </c>
      <c r="AF9" s="1">
        <f t="shared" si="23"/>
        <v>3</v>
      </c>
      <c r="AG9" s="43"/>
      <c r="AM9" s="1" t="s">
        <v>22</v>
      </c>
      <c r="AN9" s="1" t="s">
        <v>13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21</v>
      </c>
      <c r="E10" s="1">
        <v>1</v>
      </c>
      <c r="F10" s="1">
        <v>2</v>
      </c>
      <c r="G10" s="1" t="s">
        <v>77</v>
      </c>
      <c r="H10" s="1" t="s">
        <v>77</v>
      </c>
      <c r="I10" s="1">
        <f t="shared" si="2"/>
        <v>0</v>
      </c>
      <c r="J10" s="1">
        <f t="shared" si="3"/>
        <v>6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0</v>
      </c>
      <c r="S10" s="1">
        <f t="shared" si="12"/>
        <v>4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2</v>
      </c>
      <c r="X10" s="1">
        <f t="shared" si="17"/>
        <v>0</v>
      </c>
      <c r="Y10" s="1">
        <f t="shared" si="18"/>
        <v>6</v>
      </c>
      <c r="Z10" s="1">
        <f t="shared" si="19"/>
        <v>2</v>
      </c>
      <c r="AA10" s="1" t="str">
        <f t="shared" si="0"/>
        <v>L</v>
      </c>
      <c r="AB10" s="1">
        <f t="shared" si="20"/>
        <v>9</v>
      </c>
      <c r="AC10" s="1" t="str">
        <f t="shared" si="1"/>
        <v>L</v>
      </c>
      <c r="AD10" s="1">
        <f t="shared" si="21"/>
        <v>0</v>
      </c>
      <c r="AE10" s="1">
        <f t="shared" si="22"/>
        <v>6</v>
      </c>
      <c r="AF10" s="1">
        <f t="shared" si="23"/>
        <v>3</v>
      </c>
      <c r="AG10" s="43"/>
      <c r="AM10" s="1" t="s">
        <v>21</v>
      </c>
      <c r="AN10" s="1" t="s">
        <v>12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11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46314</v>
      </c>
      <c r="B12" s="1">
        <v>11</v>
      </c>
      <c r="C12" s="1" t="s">
        <v>60</v>
      </c>
      <c r="D12" s="1" t="s">
        <v>24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9</v>
      </c>
    </row>
    <row r="13" spans="1:41" x14ac:dyDescent="0.3">
      <c r="A13" s="42">
        <v>46316</v>
      </c>
      <c r="B13" s="1">
        <v>12</v>
      </c>
      <c r="C13" s="1" t="s">
        <v>59</v>
      </c>
      <c r="D13" s="1" t="s">
        <v>28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46319</v>
      </c>
      <c r="B14" s="1">
        <v>13</v>
      </c>
      <c r="C14" s="1" t="s">
        <v>60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23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46327</v>
      </c>
      <c r="B17" s="1">
        <v>16</v>
      </c>
      <c r="C17" s="1" t="s">
        <v>60</v>
      </c>
      <c r="D17" s="1" t="s">
        <v>89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59</v>
      </c>
      <c r="D21" s="1" t="s">
        <v>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3">
      <c r="A22" s="42">
        <v>46337</v>
      </c>
      <c r="B22" s="1">
        <v>21</v>
      </c>
      <c r="C22" s="1" t="s">
        <v>59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23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46345</v>
      </c>
      <c r="B26" s="1">
        <v>25</v>
      </c>
      <c r="C26" s="1" t="s">
        <v>59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46347</v>
      </c>
      <c r="B27" s="1">
        <v>26</v>
      </c>
      <c r="C27" s="1" t="s">
        <v>59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60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46356</v>
      </c>
      <c r="B31" s="1">
        <v>30</v>
      </c>
      <c r="C31" s="1" t="s">
        <v>59</v>
      </c>
      <c r="D31" s="1" t="s">
        <v>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60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59</v>
      </c>
      <c r="D34" s="1" t="s">
        <v>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46367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60</v>
      </c>
      <c r="D36" s="1" t="s">
        <v>19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46372</v>
      </c>
      <c r="B37" s="1">
        <v>36</v>
      </c>
      <c r="C37" s="1" t="s">
        <v>60</v>
      </c>
      <c r="D37" s="1" t="s">
        <v>12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46374</v>
      </c>
      <c r="B38" s="1">
        <v>37</v>
      </c>
      <c r="C38" s="1" t="s">
        <v>60</v>
      </c>
      <c r="D38" s="1" t="s">
        <v>21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59</v>
      </c>
      <c r="D39" s="1" t="s">
        <v>29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59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46388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46390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59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46397</v>
      </c>
      <c r="B48" s="1">
        <v>47</v>
      </c>
      <c r="C48" s="1" t="s">
        <v>60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46399</v>
      </c>
      <c r="B49" s="1">
        <v>48</v>
      </c>
      <c r="C49" s="1" t="s">
        <v>59</v>
      </c>
      <c r="D49" s="1" t="s">
        <v>15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46402</v>
      </c>
      <c r="B50" s="1">
        <v>49</v>
      </c>
      <c r="C50" s="1" t="s">
        <v>59</v>
      </c>
      <c r="D50" s="1" t="s">
        <v>26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46403</v>
      </c>
      <c r="B51" s="1">
        <v>50</v>
      </c>
      <c r="C51" s="1" t="s">
        <v>60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46406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46408</v>
      </c>
      <c r="B53" s="1">
        <v>52</v>
      </c>
      <c r="C53" s="1" t="s">
        <v>60</v>
      </c>
      <c r="D53" s="1" t="s">
        <v>15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60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60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18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46418</v>
      </c>
      <c r="B58" s="1">
        <v>57</v>
      </c>
      <c r="C58" s="1" t="s">
        <v>59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14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59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59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60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59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46448</v>
      </c>
      <c r="B68" s="1">
        <v>67</v>
      </c>
      <c r="C68" s="1" t="s">
        <v>60</v>
      </c>
      <c r="D68" s="1" t="s">
        <v>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60</v>
      </c>
      <c r="D69" s="1" t="s">
        <v>22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60</v>
      </c>
      <c r="D70" s="1" t="s">
        <v>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59</v>
      </c>
      <c r="D71" s="1" t="s">
        <v>24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59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59</v>
      </c>
      <c r="D73" s="1" t="s">
        <v>89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46462</v>
      </c>
      <c r="B74" s="1">
        <v>73</v>
      </c>
      <c r="C74" s="1" t="s">
        <v>60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60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46476</v>
      </c>
      <c r="B80" s="1">
        <v>79</v>
      </c>
      <c r="C80" s="1" t="s">
        <v>60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46478</v>
      </c>
      <c r="B81" s="1">
        <v>80</v>
      </c>
      <c r="C81" s="1" t="s">
        <v>60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46482</v>
      </c>
      <c r="B83" s="1">
        <v>82</v>
      </c>
      <c r="C83" s="1" t="s">
        <v>59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23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0</v>
      </c>
      <c r="J86" s="1">
        <f t="shared" si="99"/>
        <v>6</v>
      </c>
      <c r="K86" s="1">
        <f t="shared" si="99"/>
        <v>0</v>
      </c>
      <c r="L86" s="1">
        <f t="shared" si="99"/>
        <v>3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0</v>
      </c>
      <c r="P86" s="1">
        <f t="shared" si="100"/>
        <v>2</v>
      </c>
      <c r="Q86" s="1">
        <f t="shared" si="100"/>
        <v>2</v>
      </c>
      <c r="R86" s="1">
        <f t="shared" si="100"/>
        <v>0</v>
      </c>
      <c r="S86" s="1">
        <f t="shared" si="100"/>
        <v>4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2</v>
      </c>
      <c r="X86" s="1">
        <f t="shared" si="100"/>
        <v>0</v>
      </c>
      <c r="Y86" s="1">
        <f t="shared" si="100"/>
        <v>6</v>
      </c>
      <c r="Z86" s="1">
        <f t="shared" si="100"/>
        <v>2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9</v>
      </c>
      <c r="AD86" s="1" cm="1">
        <f t="array" ref="AD86">IF(LOOKUP(2,1 / (AD1:AD85 &lt;&gt; ""),AD1:AD85)="L10 W","",LOOKUP(2,1 / (AD1:AD85 &lt;&gt; ""),AD1:AD85))</f>
        <v>0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3</v>
      </c>
    </row>
    <row r="87" spans="1:33" x14ac:dyDescent="0.3">
      <c r="C87" s="1">
        <f>COUNTIF(C1:C85,"Away")</f>
        <v>42</v>
      </c>
      <c r="E87" s="1">
        <f>SUM(E2:E85)</f>
        <v>11</v>
      </c>
      <c r="F87" s="1">
        <f>SUM(F2:F85)</f>
        <v>33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0-2-2</v>
      </c>
      <c r="R87" s="1" t="str">
        <f>IF(R86="","0-0-0",CONCATENATE(R86,"-",S86,"-",T86))</f>
        <v>0-4-1</v>
      </c>
      <c r="U87" s="1" t="str">
        <f>IF(U86="","0-0-0",CONCATENATE(U86,"-",V86,"-",W86))</f>
        <v>0-2-2</v>
      </c>
      <c r="X87" s="1" t="str">
        <f>IF(X86="","0-0-0",CONCATENATE(X86,"-",Y86,"-",Z86))</f>
        <v>0-6-2</v>
      </c>
      <c r="AA87" s="1" t="str">
        <f>IF(AA86="","0-0",CONCATENATE(AA86,AB86))</f>
        <v>L9</v>
      </c>
      <c r="AD87" s="1" t="str">
        <f>IF(AD86="","0-0-0",CONCATENATE(AD86,"-",AE86,"-",AF86))</f>
        <v>0-6-3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000-000002000000}">
      <formula1>$AK$1:$AK$2</formula1>
    </dataValidation>
    <dataValidation type="list" allowBlank="1" showInputMessage="1" showErrorMessage="1" sqref="C2:C85" xr:uid="{00000000-0002-0000-D000-000001000000}">
      <formula1>$AL$1:$AL$2</formula1>
    </dataValidation>
    <dataValidation type="list" allowBlank="1" showInputMessage="1" showErrorMessage="1" sqref="D2:D85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46295</v>
      </c>
      <c r="B2" s="1">
        <v>1</v>
      </c>
      <c r="C2" s="1" t="s">
        <v>59</v>
      </c>
      <c r="D2" s="1" t="s">
        <v>10</v>
      </c>
      <c r="E2" s="1">
        <v>7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16</v>
      </c>
      <c r="E3" s="1">
        <v>6</v>
      </c>
      <c r="F3" s="1">
        <v>5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0</v>
      </c>
      <c r="E4" s="1">
        <v>2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46302</v>
      </c>
      <c r="B5" s="1">
        <v>4</v>
      </c>
      <c r="C5" s="1" t="s">
        <v>59</v>
      </c>
      <c r="D5" s="1" t="s">
        <v>1</v>
      </c>
      <c r="E5" s="1">
        <v>3</v>
      </c>
      <c r="F5" s="1">
        <v>5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23</v>
      </c>
      <c r="E6" s="1">
        <v>2</v>
      </c>
      <c r="F6" s="1">
        <v>3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2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22</v>
      </c>
      <c r="E7" s="1">
        <v>2</v>
      </c>
      <c r="F7" s="1">
        <v>1</v>
      </c>
      <c r="G7" s="1" t="s">
        <v>78</v>
      </c>
      <c r="H7" s="1" t="s">
        <v>78</v>
      </c>
      <c r="I7" s="1">
        <f t="shared" si="2"/>
        <v>3</v>
      </c>
      <c r="J7" s="1">
        <f t="shared" si="3"/>
        <v>2</v>
      </c>
      <c r="K7" s="1">
        <f t="shared" si="4"/>
        <v>2</v>
      </c>
      <c r="L7" s="1">
        <f t="shared" si="5"/>
        <v>1</v>
      </c>
      <c r="M7" s="1">
        <f t="shared" si="6"/>
        <v>1</v>
      </c>
      <c r="N7" s="1">
        <f t="shared" si="7"/>
        <v>1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25</v>
      </c>
      <c r="E8" s="1">
        <v>3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2</v>
      </c>
      <c r="L8" s="1">
        <f t="shared" si="5"/>
        <v>1</v>
      </c>
      <c r="M8" s="1">
        <f t="shared" si="6"/>
        <v>1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46311</v>
      </c>
      <c r="B9" s="1">
        <v>8</v>
      </c>
      <c r="C9" s="1" t="s">
        <v>59</v>
      </c>
      <c r="D9" s="1" t="s">
        <v>24</v>
      </c>
      <c r="E9" s="1">
        <v>2</v>
      </c>
      <c r="F9" s="1">
        <v>5</v>
      </c>
      <c r="G9" s="1" t="s">
        <v>77</v>
      </c>
      <c r="H9" s="1" t="s">
        <v>77</v>
      </c>
      <c r="I9" s="1">
        <f t="shared" si="2"/>
        <v>3</v>
      </c>
      <c r="J9" s="1">
        <f t="shared" si="3"/>
        <v>4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59</v>
      </c>
      <c r="D11" s="1" t="s">
        <v>89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19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5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89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46329</v>
      </c>
      <c r="B16" s="1">
        <v>15</v>
      </c>
      <c r="C16" s="1" t="s">
        <v>60</v>
      </c>
      <c r="D16" s="1" t="s">
        <v>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60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59</v>
      </c>
      <c r="D19" s="1" t="s">
        <v>31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46345</v>
      </c>
      <c r="B22" s="1">
        <v>21</v>
      </c>
      <c r="C22" s="1" t="s">
        <v>60</v>
      </c>
      <c r="D22" s="1" t="s">
        <v>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3">
      <c r="A23" s="42">
        <v>46347</v>
      </c>
      <c r="B23" s="1">
        <v>22</v>
      </c>
      <c r="C23" s="1" t="s">
        <v>59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46348</v>
      </c>
      <c r="B24" s="1">
        <v>23</v>
      </c>
      <c r="C24" s="1" t="s">
        <v>59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46353</v>
      </c>
      <c r="B26" s="1">
        <v>25</v>
      </c>
      <c r="C26" s="1" t="s">
        <v>59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60</v>
      </c>
      <c r="D27" s="1" t="s">
        <v>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46356</v>
      </c>
      <c r="B28" s="1">
        <v>27</v>
      </c>
      <c r="C28" s="1" t="s">
        <v>60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59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46361</v>
      </c>
      <c r="B30" s="1">
        <v>29</v>
      </c>
      <c r="C30" s="1" t="s">
        <v>60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19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46371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46373</v>
      </c>
      <c r="B36" s="1">
        <v>35</v>
      </c>
      <c r="C36" s="1" t="s">
        <v>60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28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46385</v>
      </c>
      <c r="B40" s="1">
        <v>39</v>
      </c>
      <c r="C40" s="1" t="s">
        <v>60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46387</v>
      </c>
      <c r="B41" s="1">
        <v>40</v>
      </c>
      <c r="C41" s="1" t="s">
        <v>59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46388</v>
      </c>
      <c r="B42" s="1">
        <v>41</v>
      </c>
      <c r="C42" s="1" t="s">
        <v>60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46390</v>
      </c>
      <c r="B43" s="1">
        <v>42</v>
      </c>
      <c r="C43" s="1" t="s">
        <v>60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46394</v>
      </c>
      <c r="B44" s="1">
        <v>43</v>
      </c>
      <c r="C44" s="1" t="s">
        <v>59</v>
      </c>
      <c r="D44" s="1" t="s">
        <v>26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46396</v>
      </c>
      <c r="B45" s="1">
        <v>44</v>
      </c>
      <c r="C45" s="1" t="s">
        <v>59</v>
      </c>
      <c r="D45" s="1" t="s">
        <v>16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46399</v>
      </c>
      <c r="B46" s="1">
        <v>45</v>
      </c>
      <c r="C46" s="1" t="s">
        <v>60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46400</v>
      </c>
      <c r="B47" s="1">
        <v>46</v>
      </c>
      <c r="C47" s="1" t="s">
        <v>59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46403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46405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46410</v>
      </c>
      <c r="B51" s="1">
        <v>50</v>
      </c>
      <c r="C51" s="1" t="s">
        <v>60</v>
      </c>
      <c r="D51" s="1" t="s">
        <v>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46412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46413</v>
      </c>
      <c r="B53" s="1">
        <v>52</v>
      </c>
      <c r="C53" s="1" t="s">
        <v>60</v>
      </c>
      <c r="D53" s="1" t="s">
        <v>13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46416</v>
      </c>
      <c r="B54" s="1">
        <v>53</v>
      </c>
      <c r="C54" s="1" t="s">
        <v>60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46418</v>
      </c>
      <c r="B55" s="1">
        <v>54</v>
      </c>
      <c r="C55" s="1" t="s">
        <v>60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46420</v>
      </c>
      <c r="B56" s="1">
        <v>55</v>
      </c>
      <c r="C56" s="1" t="s">
        <v>60</v>
      </c>
      <c r="D56" s="1" t="s">
        <v>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46431</v>
      </c>
      <c r="B57" s="1">
        <v>56</v>
      </c>
      <c r="C57" s="1" t="s">
        <v>59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46433</v>
      </c>
      <c r="B58" s="1">
        <v>57</v>
      </c>
      <c r="C58" s="1" t="s">
        <v>59</v>
      </c>
      <c r="D58" s="1" t="s">
        <v>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46434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46437</v>
      </c>
      <c r="B60" s="1">
        <v>59</v>
      </c>
      <c r="C60" s="1" t="s">
        <v>59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46439</v>
      </c>
      <c r="B61" s="1">
        <v>60</v>
      </c>
      <c r="C61" s="1" t="s">
        <v>59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46441</v>
      </c>
      <c r="B62" s="1">
        <v>61</v>
      </c>
      <c r="C62" s="1" t="s">
        <v>59</v>
      </c>
      <c r="D62" s="1" t="s">
        <v>17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46443</v>
      </c>
      <c r="B63" s="1">
        <v>62</v>
      </c>
      <c r="C63" s="1" t="s">
        <v>60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46446</v>
      </c>
      <c r="B64" s="1">
        <v>63</v>
      </c>
      <c r="C64" s="1" t="s">
        <v>60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46448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46450</v>
      </c>
      <c r="B66" s="1">
        <v>65</v>
      </c>
      <c r="C66" s="1" t="s">
        <v>59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46452</v>
      </c>
      <c r="B67" s="1">
        <v>66</v>
      </c>
      <c r="C67" s="1" t="s">
        <v>59</v>
      </c>
      <c r="D67" s="1" t="s">
        <v>29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46453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46455</v>
      </c>
      <c r="B69" s="1">
        <v>68</v>
      </c>
      <c r="C69" s="1" t="s">
        <v>60</v>
      </c>
      <c r="D69" s="1" t="s">
        <v>11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46457</v>
      </c>
      <c r="B70" s="1">
        <v>69</v>
      </c>
      <c r="C70" s="1" t="s">
        <v>60</v>
      </c>
      <c r="D70" s="1" t="s">
        <v>29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46459</v>
      </c>
      <c r="B71" s="1">
        <v>70</v>
      </c>
      <c r="C71" s="1" t="s">
        <v>60</v>
      </c>
      <c r="D71" s="1" t="s">
        <v>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46460</v>
      </c>
      <c r="B72" s="1">
        <v>71</v>
      </c>
      <c r="C72" s="1" t="s">
        <v>60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46462</v>
      </c>
      <c r="B73" s="1">
        <v>72</v>
      </c>
      <c r="C73" s="1" t="s">
        <v>59</v>
      </c>
      <c r="D73" s="1" t="s">
        <v>23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46464</v>
      </c>
      <c r="B74" s="1">
        <v>73</v>
      </c>
      <c r="C74" s="1" t="s">
        <v>59</v>
      </c>
      <c r="D74" s="1" t="s">
        <v>14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46468</v>
      </c>
      <c r="B76" s="1">
        <v>75</v>
      </c>
      <c r="C76" s="1" t="s">
        <v>60</v>
      </c>
      <c r="D76" s="1" t="s">
        <v>23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46471</v>
      </c>
      <c r="B77" s="1">
        <v>76</v>
      </c>
      <c r="C77" s="1" t="s">
        <v>60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46473</v>
      </c>
      <c r="B78" s="1">
        <v>77</v>
      </c>
      <c r="C78" s="1" t="s">
        <v>60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46476</v>
      </c>
      <c r="B79" s="1">
        <v>78</v>
      </c>
      <c r="C79" s="1" t="s">
        <v>59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46478</v>
      </c>
      <c r="B80" s="1">
        <v>79</v>
      </c>
      <c r="C80" s="1" t="s">
        <v>60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46480</v>
      </c>
      <c r="B81" s="1">
        <v>80</v>
      </c>
      <c r="C81" s="1" t="s">
        <v>60</v>
      </c>
      <c r="D81" s="1" t="s">
        <v>10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46481</v>
      </c>
      <c r="B82" s="1">
        <v>81</v>
      </c>
      <c r="C82" s="1" t="s">
        <v>59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59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21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14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4</v>
      </c>
      <c r="K86" s="1">
        <f t="shared" si="99"/>
        <v>2</v>
      </c>
      <c r="L86" s="1">
        <f t="shared" si="99"/>
        <v>1</v>
      </c>
      <c r="M86" s="1">
        <f t="shared" si="99"/>
        <v>1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3</v>
      </c>
      <c r="T86" s="1">
        <f t="shared" si="100"/>
        <v>1</v>
      </c>
      <c r="U86" s="1">
        <f t="shared" si="100"/>
        <v>1</v>
      </c>
      <c r="V86" s="1">
        <f t="shared" si="100"/>
        <v>1</v>
      </c>
      <c r="W86" s="1">
        <f t="shared" si="100"/>
        <v>1</v>
      </c>
      <c r="X86" s="1">
        <f t="shared" si="100"/>
        <v>2</v>
      </c>
      <c r="Y86" s="1">
        <f t="shared" si="100"/>
        <v>1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4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27</v>
      </c>
      <c r="F87" s="1">
        <f>SUM(F2:F85)</f>
        <v>27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2-1-0</v>
      </c>
      <c r="R87" s="1" t="str">
        <f>IF(R86="","0-0-0",CONCATENATE(R86,"-",S86,"-",T86))</f>
        <v>1-3-1</v>
      </c>
      <c r="U87" s="1" t="str">
        <f>IF(U86="","0-0-0",CONCATENATE(U86,"-",V86,"-",W86))</f>
        <v>1-1-1</v>
      </c>
      <c r="X87" s="1" t="str">
        <f>IF(X86="","0-0-0",CONCATENATE(X86,"-",Y86,"-",Z86))</f>
        <v>2-1-1</v>
      </c>
      <c r="AA87" s="1" t="str">
        <f>IF(AA86="","0-0",CONCATENATE(AA86,AB86))</f>
        <v>L2</v>
      </c>
      <c r="AD87" s="1" t="str">
        <f>IF(AD86="","0-0-0",CONCATENATE(AD86,"-",AE86,"-",AF86))</f>
        <v>3-4-1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100-000002000000}">
      <formula1>$AK$1:$AK$2</formula1>
    </dataValidation>
    <dataValidation type="list" allowBlank="1" showInputMessage="1" showErrorMessage="1" sqref="C2:C85" xr:uid="{00000000-0002-0000-D100-000000000000}">
      <formula1>$AL$1:$AL$2</formula1>
    </dataValidation>
    <dataValidation type="list" allowBlank="1" showInputMessage="1" showErrorMessage="1" sqref="D2:D85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19</v>
      </c>
      <c r="E2" s="1">
        <v>4</v>
      </c>
      <c r="F2" s="1">
        <v>3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18</v>
      </c>
      <c r="E3" s="1">
        <v>5</v>
      </c>
      <c r="F3" s="1">
        <v>4</v>
      </c>
      <c r="G3" s="1" t="s">
        <v>78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2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22</v>
      </c>
      <c r="E4" s="1">
        <v>0</v>
      </c>
      <c r="F4" s="1">
        <v>5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2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46303</v>
      </c>
      <c r="B5" s="1">
        <v>4</v>
      </c>
      <c r="C5" s="1" t="s">
        <v>59</v>
      </c>
      <c r="D5" s="1" t="s">
        <v>6</v>
      </c>
      <c r="E5" s="1">
        <v>3</v>
      </c>
      <c r="F5" s="1">
        <v>2</v>
      </c>
      <c r="G5" s="1" t="s">
        <v>78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3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7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20</v>
      </c>
      <c r="E6" s="1">
        <v>1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3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29</v>
      </c>
      <c r="E7" s="1">
        <v>3</v>
      </c>
      <c r="F7" s="1">
        <v>6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3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15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4</v>
      </c>
      <c r="J8" s="1">
        <f t="shared" si="3"/>
        <v>3</v>
      </c>
      <c r="K8" s="1">
        <f t="shared" si="4"/>
        <v>4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21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46314</v>
      </c>
      <c r="B10" s="1">
        <v>9</v>
      </c>
      <c r="C10" s="1" t="s">
        <v>59</v>
      </c>
      <c r="D10" s="1" t="s">
        <v>4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7</v>
      </c>
    </row>
    <row r="11" spans="1:41" x14ac:dyDescent="0.3">
      <c r="A11" s="42">
        <v>46315</v>
      </c>
      <c r="B11" s="1">
        <v>10</v>
      </c>
      <c r="C11" s="1" t="s">
        <v>59</v>
      </c>
      <c r="D11" s="1" t="s">
        <v>16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11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59</v>
      </c>
      <c r="D13" s="1" t="s">
        <v>29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28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60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46326</v>
      </c>
      <c r="B16" s="1">
        <v>15</v>
      </c>
      <c r="C16" s="1" t="s">
        <v>60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60</v>
      </c>
      <c r="D17" s="1" t="s">
        <v>27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46330</v>
      </c>
      <c r="B18" s="1">
        <v>17</v>
      </c>
      <c r="C18" s="1" t="s">
        <v>59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46332</v>
      </c>
      <c r="B19" s="1">
        <v>18</v>
      </c>
      <c r="C19" s="1" t="s">
        <v>59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13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46337</v>
      </c>
      <c r="B22" s="1">
        <v>21</v>
      </c>
      <c r="C22" s="1" t="s">
        <v>60</v>
      </c>
      <c r="D22" s="1" t="s">
        <v>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59</v>
      </c>
      <c r="D23" s="1" t="s">
        <v>89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3">
      <c r="A24" s="42">
        <v>46341</v>
      </c>
      <c r="B24" s="1">
        <v>23</v>
      </c>
      <c r="C24" s="1" t="s">
        <v>60</v>
      </c>
      <c r="D24" s="1" t="s">
        <v>15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46343</v>
      </c>
      <c r="B25" s="1">
        <v>24</v>
      </c>
      <c r="C25" s="1" t="s">
        <v>60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46349</v>
      </c>
      <c r="B27" s="1">
        <v>26</v>
      </c>
      <c r="C27" s="1" t="s">
        <v>60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46353</v>
      </c>
      <c r="B29" s="1">
        <v>28</v>
      </c>
      <c r="C29" s="1" t="s">
        <v>60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46354</v>
      </c>
      <c r="B30" s="1">
        <v>29</v>
      </c>
      <c r="C30" s="1" t="s">
        <v>59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46360</v>
      </c>
      <c r="B33" s="1">
        <v>32</v>
      </c>
      <c r="C33" s="1" t="s">
        <v>59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46362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46364</v>
      </c>
      <c r="B35" s="1">
        <v>34</v>
      </c>
      <c r="C35" s="1" t="s">
        <v>60</v>
      </c>
      <c r="D35" s="1" t="s">
        <v>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46365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46367</v>
      </c>
      <c r="B37" s="1">
        <v>36</v>
      </c>
      <c r="C37" s="1" t="s">
        <v>60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46370</v>
      </c>
      <c r="B38" s="1">
        <v>37</v>
      </c>
      <c r="C38" s="1" t="s">
        <v>60</v>
      </c>
      <c r="D38" s="1" t="s">
        <v>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46372</v>
      </c>
      <c r="B39" s="1">
        <v>38</v>
      </c>
      <c r="C39" s="1" t="s">
        <v>59</v>
      </c>
      <c r="D39" s="1" t="s">
        <v>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46375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46378</v>
      </c>
      <c r="B41" s="1">
        <v>40</v>
      </c>
      <c r="C41" s="1" t="s">
        <v>59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46382</v>
      </c>
      <c r="B42" s="1">
        <v>41</v>
      </c>
      <c r="C42" s="1" t="s">
        <v>60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46384</v>
      </c>
      <c r="B43" s="1">
        <v>42</v>
      </c>
      <c r="C43" s="1" t="s">
        <v>59</v>
      </c>
      <c r="D43" s="1" t="s">
        <v>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46385</v>
      </c>
      <c r="B44" s="1">
        <v>43</v>
      </c>
      <c r="C44" s="1" t="s">
        <v>59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46023</v>
      </c>
      <c r="B45" s="1">
        <v>44</v>
      </c>
      <c r="C45" s="1" t="s">
        <v>60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46024</v>
      </c>
      <c r="B46" s="1">
        <v>45</v>
      </c>
      <c r="C46" s="1" t="s">
        <v>60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46026</v>
      </c>
      <c r="B47" s="1">
        <v>46</v>
      </c>
      <c r="C47" s="1" t="s">
        <v>60</v>
      </c>
      <c r="D47" s="1" t="s">
        <v>14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46028</v>
      </c>
      <c r="B48" s="1">
        <v>47</v>
      </c>
      <c r="C48" s="1" t="s">
        <v>60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46030</v>
      </c>
      <c r="B49" s="1">
        <v>48</v>
      </c>
      <c r="C49" s="1" t="s">
        <v>60</v>
      </c>
      <c r="D49" s="1" t="s">
        <v>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46031</v>
      </c>
      <c r="B50" s="1">
        <v>49</v>
      </c>
      <c r="C50" s="1" t="s">
        <v>60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46035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46036</v>
      </c>
      <c r="B52" s="1">
        <v>51</v>
      </c>
      <c r="C52" s="1" t="s">
        <v>59</v>
      </c>
      <c r="D52" s="1" t="s">
        <v>27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46038</v>
      </c>
      <c r="B53" s="1">
        <v>52</v>
      </c>
      <c r="C53" s="1" t="s">
        <v>59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46040</v>
      </c>
      <c r="B54" s="1">
        <v>53</v>
      </c>
      <c r="C54" s="1" t="s">
        <v>60</v>
      </c>
      <c r="D54" s="1" t="s">
        <v>89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46045</v>
      </c>
      <c r="B55" s="1">
        <v>54</v>
      </c>
      <c r="C55" s="1" t="s">
        <v>60</v>
      </c>
      <c r="D55" s="1" t="s">
        <v>20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46050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46052</v>
      </c>
      <c r="B57" s="1">
        <v>56</v>
      </c>
      <c r="C57" s="1" t="s">
        <v>60</v>
      </c>
      <c r="D57" s="1" t="s">
        <v>25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46063</v>
      </c>
      <c r="B58" s="1">
        <v>57</v>
      </c>
      <c r="C58" s="1" t="s">
        <v>60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60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46072</v>
      </c>
      <c r="B61" s="1">
        <v>60</v>
      </c>
      <c r="C61" s="1" t="s">
        <v>59</v>
      </c>
      <c r="D61" s="1" t="s">
        <v>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46074</v>
      </c>
      <c r="B62" s="1">
        <v>61</v>
      </c>
      <c r="C62" s="1" t="s">
        <v>59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46076</v>
      </c>
      <c r="B63" s="1">
        <v>62</v>
      </c>
      <c r="C63" s="1" t="s">
        <v>59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59</v>
      </c>
      <c r="D65" s="1" t="s">
        <v>10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46082</v>
      </c>
      <c r="B66" s="1">
        <v>65</v>
      </c>
      <c r="C66" s="1" t="s">
        <v>60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46084</v>
      </c>
      <c r="B67" s="1">
        <v>66</v>
      </c>
      <c r="C67" s="1" t="s">
        <v>60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46087</v>
      </c>
      <c r="B69" s="1">
        <v>68</v>
      </c>
      <c r="C69" s="1" t="s">
        <v>60</v>
      </c>
      <c r="D69" s="1" t="s">
        <v>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46090</v>
      </c>
      <c r="B70" s="1">
        <v>69</v>
      </c>
      <c r="C70" s="1" t="s">
        <v>59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46092</v>
      </c>
      <c r="B71" s="1">
        <v>70</v>
      </c>
      <c r="C71" s="1" t="s">
        <v>59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59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46099</v>
      </c>
      <c r="B75" s="1">
        <v>74</v>
      </c>
      <c r="C75" s="1" t="s">
        <v>59</v>
      </c>
      <c r="D75" s="1" t="s">
        <v>0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46103</v>
      </c>
      <c r="B77" s="1">
        <v>76</v>
      </c>
      <c r="C77" s="1" t="s">
        <v>59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46105</v>
      </c>
      <c r="B78" s="1">
        <v>77</v>
      </c>
      <c r="C78" s="1" t="s">
        <v>60</v>
      </c>
      <c r="D78" s="1" t="s">
        <v>31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46107</v>
      </c>
      <c r="B79" s="1">
        <v>78</v>
      </c>
      <c r="C79" s="1" t="s">
        <v>59</v>
      </c>
      <c r="D79" s="1" t="s">
        <v>89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46110</v>
      </c>
      <c r="B80" s="1">
        <v>79</v>
      </c>
      <c r="C80" s="1" t="s">
        <v>60</v>
      </c>
      <c r="D80" s="1" t="s">
        <v>24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46112</v>
      </c>
      <c r="B81" s="1">
        <v>80</v>
      </c>
      <c r="C81" s="1" t="s">
        <v>59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46115</v>
      </c>
      <c r="B82" s="1">
        <v>81</v>
      </c>
      <c r="C82" s="1" t="s">
        <v>59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46116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31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4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0</v>
      </c>
      <c r="R86" s="1">
        <f t="shared" si="100"/>
        <v>2</v>
      </c>
      <c r="S86" s="1">
        <f t="shared" si="100"/>
        <v>1</v>
      </c>
      <c r="T86" s="1">
        <f t="shared" si="100"/>
        <v>0</v>
      </c>
      <c r="U86" s="1">
        <f t="shared" si="100"/>
        <v>1</v>
      </c>
      <c r="V86" s="1">
        <f t="shared" si="100"/>
        <v>1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19</v>
      </c>
      <c r="F87" s="1">
        <f>SUM(F2:F85)</f>
        <v>25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2-2-0</v>
      </c>
      <c r="R87" s="1" t="str">
        <f>IF(R86="","0-0-0",CONCATENATE(R86,"-",S86,"-",T86))</f>
        <v>2-1-0</v>
      </c>
      <c r="U87" s="1" t="str">
        <f>IF(U86="","0-0-0",CONCATENATE(U86,"-",V86,"-",W86))</f>
        <v>1-1-0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4-3-0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200-000002000000}">
      <formula1>$AK$1:$AK$2</formula1>
    </dataValidation>
    <dataValidation type="list" allowBlank="1" showInputMessage="1" showErrorMessage="1" sqref="C2:C85" xr:uid="{00000000-0002-0000-D200-000001000000}">
      <formula1>$AL$1:$AL$2</formula1>
    </dataValidation>
    <dataValidation type="list" allowBlank="1" showInputMessage="1" showErrorMessage="1" sqref="D2:D85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27</v>
      </c>
      <c r="E2" s="1">
        <v>6</v>
      </c>
      <c r="F2" s="1">
        <v>1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20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60</v>
      </c>
      <c r="D4" s="1" t="s">
        <v>27</v>
      </c>
      <c r="E4" s="1">
        <v>6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2</v>
      </c>
      <c r="E5" s="1">
        <v>2</v>
      </c>
      <c r="F5" s="1">
        <v>6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46304</v>
      </c>
      <c r="B6" s="1">
        <v>5</v>
      </c>
      <c r="C6" s="1" t="s">
        <v>59</v>
      </c>
      <c r="D6" s="1" t="s">
        <v>21</v>
      </c>
      <c r="E6" s="1">
        <v>6</v>
      </c>
      <c r="F6" s="1">
        <v>3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3</v>
      </c>
    </row>
    <row r="7" spans="1:41" x14ac:dyDescent="0.3">
      <c r="A7" s="42">
        <v>46306</v>
      </c>
      <c r="B7" s="1">
        <v>6</v>
      </c>
      <c r="C7" s="1" t="s">
        <v>59</v>
      </c>
      <c r="D7" s="1" t="s">
        <v>1</v>
      </c>
      <c r="E7" s="1">
        <v>5</v>
      </c>
      <c r="F7" s="1">
        <v>3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10</v>
      </c>
      <c r="E8" s="1">
        <v>3</v>
      </c>
      <c r="F8" s="1">
        <v>2</v>
      </c>
      <c r="G8" s="1" t="s">
        <v>78</v>
      </c>
      <c r="H8" s="1" t="s">
        <v>78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5</v>
      </c>
      <c r="E9" s="1">
        <v>3</v>
      </c>
      <c r="F9" s="1">
        <v>4</v>
      </c>
      <c r="G9" s="1" t="s">
        <v>78</v>
      </c>
      <c r="H9" s="1" t="s">
        <v>77</v>
      </c>
      <c r="I9" s="1">
        <f t="shared" si="2"/>
        <v>5</v>
      </c>
      <c r="J9" s="1">
        <f t="shared" si="3"/>
        <v>2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5</v>
      </c>
      <c r="AE9" s="1">
        <f t="shared" si="22"/>
        <v>2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59</v>
      </c>
      <c r="D10" s="1" t="s">
        <v>19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46315</v>
      </c>
      <c r="B11" s="1">
        <v>10</v>
      </c>
      <c r="C11" s="1" t="s">
        <v>60</v>
      </c>
      <c r="D11" s="1" t="s">
        <v>21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6</v>
      </c>
    </row>
    <row r="12" spans="1:41" x14ac:dyDescent="0.3">
      <c r="A12" s="42">
        <v>46317</v>
      </c>
      <c r="B12" s="1">
        <v>11</v>
      </c>
      <c r="C12" s="1" t="s">
        <v>60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17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46323</v>
      </c>
      <c r="B14" s="1">
        <v>13</v>
      </c>
      <c r="C14" s="1" t="s">
        <v>60</v>
      </c>
      <c r="D14" s="1" t="s">
        <v>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46330</v>
      </c>
      <c r="B16" s="1">
        <v>15</v>
      </c>
      <c r="C16" s="1" t="s">
        <v>60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60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60</v>
      </c>
      <c r="D18" s="1" t="s">
        <v>26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26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46345</v>
      </c>
      <c r="B20" s="1">
        <v>19</v>
      </c>
      <c r="C20" s="1" t="s">
        <v>60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46347</v>
      </c>
      <c r="B21" s="1">
        <v>20</v>
      </c>
      <c r="C21" s="1" t="s">
        <v>59</v>
      </c>
      <c r="D21" s="1" t="s">
        <v>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46349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59</v>
      </c>
      <c r="D24" s="1" t="s">
        <v>20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3">
      <c r="A25" s="42">
        <v>46354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46359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46360</v>
      </c>
      <c r="B28" s="1">
        <v>27</v>
      </c>
      <c r="C28" s="1" t="s">
        <v>59</v>
      </c>
      <c r="D28" s="1" t="s">
        <v>31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46362</v>
      </c>
      <c r="B29" s="1">
        <v>28</v>
      </c>
      <c r="C29" s="1" t="s">
        <v>60</v>
      </c>
      <c r="D29" s="1" t="s">
        <v>28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46364</v>
      </c>
      <c r="B30" s="1">
        <v>29</v>
      </c>
      <c r="C30" s="1" t="s">
        <v>59</v>
      </c>
      <c r="D30" s="1" t="s">
        <v>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15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46371</v>
      </c>
      <c r="B33" s="1">
        <v>32</v>
      </c>
      <c r="C33" s="1" t="s">
        <v>59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46373</v>
      </c>
      <c r="B34" s="1">
        <v>33</v>
      </c>
      <c r="C34" s="1" t="s">
        <v>59</v>
      </c>
      <c r="D34" s="1" t="s">
        <v>23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46374</v>
      </c>
      <c r="B35" s="1">
        <v>34</v>
      </c>
      <c r="C35" s="1" t="s">
        <v>59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46376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46378</v>
      </c>
      <c r="B37" s="1">
        <v>36</v>
      </c>
      <c r="C37" s="1" t="s">
        <v>60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46385</v>
      </c>
      <c r="B38" s="1">
        <v>37</v>
      </c>
      <c r="C38" s="1" t="s">
        <v>60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46386</v>
      </c>
      <c r="B39" s="1">
        <v>38</v>
      </c>
      <c r="C39" s="1" t="s">
        <v>59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46025</v>
      </c>
      <c r="B41" s="1">
        <v>40</v>
      </c>
      <c r="C41" s="1" t="s">
        <v>60</v>
      </c>
      <c r="D41" s="1" t="s">
        <v>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46027</v>
      </c>
      <c r="B42" s="1">
        <v>41</v>
      </c>
      <c r="C42" s="1" t="s">
        <v>60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46031</v>
      </c>
      <c r="B44" s="1">
        <v>43</v>
      </c>
      <c r="C44" s="1" t="s">
        <v>59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59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8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60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59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46043</v>
      </c>
      <c r="B50" s="1">
        <v>49</v>
      </c>
      <c r="C50" s="1" t="s">
        <v>59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46045</v>
      </c>
      <c r="B51" s="1">
        <v>50</v>
      </c>
      <c r="C51" s="1" t="s">
        <v>59</v>
      </c>
      <c r="D51" s="1" t="s">
        <v>13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46047</v>
      </c>
      <c r="B52" s="1">
        <v>51</v>
      </c>
      <c r="C52" s="1" t="s">
        <v>59</v>
      </c>
      <c r="D52" s="1" t="s">
        <v>12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59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46050</v>
      </c>
      <c r="B54" s="1">
        <v>53</v>
      </c>
      <c r="C54" s="1" t="s">
        <v>59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46053</v>
      </c>
      <c r="B55" s="1">
        <v>54</v>
      </c>
      <c r="C55" s="1" t="s">
        <v>60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60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46066</v>
      </c>
      <c r="B57" s="1">
        <v>56</v>
      </c>
      <c r="C57" s="1" t="s">
        <v>60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46068</v>
      </c>
      <c r="B58" s="1">
        <v>57</v>
      </c>
      <c r="C58" s="1" t="s">
        <v>60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46070</v>
      </c>
      <c r="B59" s="1">
        <v>58</v>
      </c>
      <c r="C59" s="1" t="s">
        <v>60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46072</v>
      </c>
      <c r="B60" s="1">
        <v>59</v>
      </c>
      <c r="C60" s="1" t="s">
        <v>59</v>
      </c>
      <c r="D60" s="1" t="s">
        <v>89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59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46075</v>
      </c>
      <c r="B62" s="1">
        <v>61</v>
      </c>
      <c r="C62" s="1" t="s">
        <v>60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46077</v>
      </c>
      <c r="B63" s="1">
        <v>62</v>
      </c>
      <c r="C63" s="1" t="s">
        <v>59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60</v>
      </c>
      <c r="D64" s="1" t="s">
        <v>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46082</v>
      </c>
      <c r="B65" s="1">
        <v>64</v>
      </c>
      <c r="C65" s="1" t="s">
        <v>59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16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11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20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60</v>
      </c>
      <c r="D72" s="1" t="s">
        <v>6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46100</v>
      </c>
      <c r="B74" s="1">
        <v>73</v>
      </c>
      <c r="C74" s="1" t="s">
        <v>60</v>
      </c>
      <c r="D74" s="1" t="s">
        <v>24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60</v>
      </c>
      <c r="D75" s="1" t="s">
        <v>18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17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59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46111</v>
      </c>
      <c r="B80" s="1">
        <v>79</v>
      </c>
      <c r="C80" s="1" t="s">
        <v>60</v>
      </c>
      <c r="D80" s="1" t="s">
        <v>89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25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43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1</v>
      </c>
      <c r="L86" s="1">
        <f t="shared" si="99"/>
        <v>1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1</v>
      </c>
      <c r="Q86" s="1">
        <f t="shared" si="100"/>
        <v>0</v>
      </c>
      <c r="R86" s="1">
        <f t="shared" si="100"/>
        <v>4</v>
      </c>
      <c r="S86" s="1">
        <f t="shared" si="100"/>
        <v>1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41</v>
      </c>
      <c r="E87" s="1">
        <f>SUM(E2:E85)</f>
        <v>32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1-1-0</v>
      </c>
      <c r="R87" s="1" t="str">
        <f>IF(R86="","0-0-0",CONCATENATE(R86,"-",S86,"-",T86))</f>
        <v>4-1-1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L1</v>
      </c>
      <c r="AD87" s="1" t="str">
        <f>IF(AD86="","0-0-0",CONCATENATE(AD86,"-",AE86,"-",AF86))</f>
        <v>5-2-1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300-000002000000}">
      <formula1>$AK$1:$AK$2</formula1>
    </dataValidation>
    <dataValidation type="list" allowBlank="1" showInputMessage="1" showErrorMessage="1" sqref="C2:C85" xr:uid="{00000000-0002-0000-D300-000000000000}">
      <formula1>$AL$1:$AL$2</formula1>
    </dataValidation>
    <dataValidation type="list" allowBlank="1" showInputMessage="1" showErrorMessage="1" sqref="D2:D85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22</v>
      </c>
      <c r="E2" s="1">
        <v>4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24</v>
      </c>
      <c r="E3" s="1">
        <v>1</v>
      </c>
      <c r="F3" s="1">
        <v>6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46301</v>
      </c>
      <c r="B4" s="1">
        <v>3</v>
      </c>
      <c r="C4" s="1" t="s">
        <v>59</v>
      </c>
      <c r="D4" s="1" t="s">
        <v>25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8</v>
      </c>
      <c r="E5" s="1">
        <v>2</v>
      </c>
      <c r="F5" s="1">
        <v>3</v>
      </c>
      <c r="G5" s="1" t="s">
        <v>78</v>
      </c>
      <c r="H5" s="1" t="s">
        <v>77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3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46305</v>
      </c>
      <c r="B6" s="1">
        <v>5</v>
      </c>
      <c r="C6" s="1" t="s">
        <v>60</v>
      </c>
      <c r="D6" s="1" t="s">
        <v>23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89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11</v>
      </c>
      <c r="E7" s="1">
        <v>7</v>
      </c>
      <c r="F7" s="1">
        <v>2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17</v>
      </c>
      <c r="E8" s="1">
        <v>4</v>
      </c>
      <c r="F8" s="1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59</v>
      </c>
      <c r="D9" s="1" t="s">
        <v>15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60</v>
      </c>
      <c r="D11" s="1" t="s">
        <v>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46319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89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46324</v>
      </c>
      <c r="B14" s="1">
        <v>13</v>
      </c>
      <c r="C14" s="1" t="s">
        <v>60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46326</v>
      </c>
      <c r="B15" s="1">
        <v>14</v>
      </c>
      <c r="C15" s="1" t="s">
        <v>59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46329</v>
      </c>
      <c r="B16" s="1">
        <v>15</v>
      </c>
      <c r="C16" s="1" t="s">
        <v>59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46331</v>
      </c>
      <c r="B17" s="1">
        <v>16</v>
      </c>
      <c r="C17" s="1" t="s">
        <v>59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46333</v>
      </c>
      <c r="B18" s="1">
        <v>17</v>
      </c>
      <c r="C18" s="1" t="s">
        <v>59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46336</v>
      </c>
      <c r="B19" s="1">
        <v>18</v>
      </c>
      <c r="C19" s="1" t="s">
        <v>60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89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59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46347</v>
      </c>
      <c r="B24" s="1">
        <v>23</v>
      </c>
      <c r="C24" s="1" t="s">
        <v>60</v>
      </c>
      <c r="D24" s="1" t="s">
        <v>14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46348</v>
      </c>
      <c r="B25" s="1">
        <v>24</v>
      </c>
      <c r="C25" s="1" t="s">
        <v>60</v>
      </c>
      <c r="D25" s="1" t="s">
        <v>20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3">
      <c r="A26" s="42">
        <v>46351</v>
      </c>
      <c r="B26" s="1">
        <v>25</v>
      </c>
      <c r="C26" s="1" t="s">
        <v>59</v>
      </c>
      <c r="D26" s="1" t="s">
        <v>13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46353</v>
      </c>
      <c r="B27" s="1">
        <v>26</v>
      </c>
      <c r="C27" s="1" t="s">
        <v>60</v>
      </c>
      <c r="D27" s="1" t="s">
        <v>22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46354</v>
      </c>
      <c r="B28" s="1">
        <v>27</v>
      </c>
      <c r="C28" s="1" t="s">
        <v>60</v>
      </c>
      <c r="D28" s="1" t="s">
        <v>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46358</v>
      </c>
      <c r="B29" s="1">
        <v>28</v>
      </c>
      <c r="C29" s="1" t="s">
        <v>60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46360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46362</v>
      </c>
      <c r="B31" s="1">
        <v>30</v>
      </c>
      <c r="C31" s="1" t="s">
        <v>60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46364</v>
      </c>
      <c r="B32" s="1">
        <v>31</v>
      </c>
      <c r="C32" s="1" t="s">
        <v>60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46366</v>
      </c>
      <c r="B33" s="1">
        <v>32</v>
      </c>
      <c r="C33" s="1" t="s">
        <v>59</v>
      </c>
      <c r="D33" s="1" t="s">
        <v>89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59</v>
      </c>
      <c r="D34" s="1" t="s">
        <v>22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60</v>
      </c>
      <c r="D36" s="1" t="s">
        <v>0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29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59</v>
      </c>
      <c r="D38" s="1" t="s">
        <v>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46383</v>
      </c>
      <c r="B41" s="1">
        <v>40</v>
      </c>
      <c r="C41" s="1" t="s">
        <v>60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59</v>
      </c>
      <c r="D44" s="1" t="s">
        <v>17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46025</v>
      </c>
      <c r="B45" s="1">
        <v>44</v>
      </c>
      <c r="C45" s="1" t="s">
        <v>60</v>
      </c>
      <c r="D45" s="1" t="s">
        <v>27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46027</v>
      </c>
      <c r="B46" s="1">
        <v>45</v>
      </c>
      <c r="C46" s="1" t="s">
        <v>59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46030</v>
      </c>
      <c r="B47" s="1">
        <v>46</v>
      </c>
      <c r="C47" s="1" t="s">
        <v>60</v>
      </c>
      <c r="D47" s="1" t="s">
        <v>11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46035</v>
      </c>
      <c r="B48" s="1">
        <v>47</v>
      </c>
      <c r="C48" s="1" t="s">
        <v>59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46043</v>
      </c>
      <c r="B52" s="1">
        <v>51</v>
      </c>
      <c r="C52" s="1" t="s">
        <v>59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46045</v>
      </c>
      <c r="B53" s="1">
        <v>52</v>
      </c>
      <c r="C53" s="1" t="s">
        <v>60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46048</v>
      </c>
      <c r="B54" s="1">
        <v>53</v>
      </c>
      <c r="C54" s="1" t="s">
        <v>60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46050</v>
      </c>
      <c r="B55" s="1">
        <v>54</v>
      </c>
      <c r="C55" s="1" t="s">
        <v>60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46052</v>
      </c>
      <c r="B56" s="1">
        <v>55</v>
      </c>
      <c r="C56" s="1" t="s">
        <v>60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46062</v>
      </c>
      <c r="B57" s="1">
        <v>56</v>
      </c>
      <c r="C57" s="1" t="s">
        <v>60</v>
      </c>
      <c r="D57" s="1" t="s">
        <v>18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46065</v>
      </c>
      <c r="B58" s="1">
        <v>57</v>
      </c>
      <c r="C58" s="1" t="s">
        <v>59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46068</v>
      </c>
      <c r="B60" s="1">
        <v>59</v>
      </c>
      <c r="C60" s="1" t="s">
        <v>60</v>
      </c>
      <c r="D60" s="1" t="s">
        <v>10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46070</v>
      </c>
      <c r="B61" s="1">
        <v>60</v>
      </c>
      <c r="C61" s="1" t="s">
        <v>59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46072</v>
      </c>
      <c r="B62" s="1">
        <v>61</v>
      </c>
      <c r="C62" s="1" t="s">
        <v>59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89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46078</v>
      </c>
      <c r="B64" s="1">
        <v>63</v>
      </c>
      <c r="C64" s="1" t="s">
        <v>60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46080</v>
      </c>
      <c r="B65" s="1">
        <v>64</v>
      </c>
      <c r="C65" s="1" t="s">
        <v>60</v>
      </c>
      <c r="D65" s="1" t="s">
        <v>17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46081</v>
      </c>
      <c r="B66" s="1">
        <v>65</v>
      </c>
      <c r="C66" s="1" t="s">
        <v>60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46085</v>
      </c>
      <c r="B67" s="1">
        <v>66</v>
      </c>
      <c r="C67" s="1" t="s">
        <v>59</v>
      </c>
      <c r="D67" s="1" t="s">
        <v>28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46088</v>
      </c>
      <c r="B68" s="1">
        <v>67</v>
      </c>
      <c r="C68" s="1" t="s">
        <v>59</v>
      </c>
      <c r="D68" s="1" t="s">
        <v>10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46090</v>
      </c>
      <c r="B69" s="1">
        <v>68</v>
      </c>
      <c r="C69" s="1" t="s">
        <v>60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31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46101</v>
      </c>
      <c r="B74" s="1">
        <v>73</v>
      </c>
      <c r="C74" s="1" t="s">
        <v>59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46102</v>
      </c>
      <c r="B75" s="1">
        <v>74</v>
      </c>
      <c r="C75" s="1" t="s">
        <v>59</v>
      </c>
      <c r="D75" s="1" t="s">
        <v>27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59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59</v>
      </c>
      <c r="D78" s="1" t="s">
        <v>23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46109</v>
      </c>
      <c r="B79" s="1">
        <v>78</v>
      </c>
      <c r="C79" s="1" t="s">
        <v>60</v>
      </c>
      <c r="D79" s="1" t="s">
        <v>28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59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7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89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0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0</v>
      </c>
      <c r="Q86" s="1">
        <f t="shared" si="100"/>
        <v>1</v>
      </c>
      <c r="R86" s="1">
        <f t="shared" si="100"/>
        <v>2</v>
      </c>
      <c r="S86" s="1">
        <f t="shared" si="100"/>
        <v>3</v>
      </c>
      <c r="T86" s="1">
        <f t="shared" si="100"/>
        <v>0</v>
      </c>
      <c r="U86" s="1">
        <f t="shared" si="100"/>
        <v>1</v>
      </c>
      <c r="V86" s="1">
        <f t="shared" si="100"/>
        <v>3</v>
      </c>
      <c r="W86" s="1">
        <f t="shared" si="100"/>
        <v>0</v>
      </c>
      <c r="X86" s="1">
        <f t="shared" si="100"/>
        <v>1</v>
      </c>
      <c r="Y86" s="1">
        <f t="shared" si="100"/>
        <v>3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25</v>
      </c>
      <c r="F87" s="1">
        <f>SUM(F2:F85)</f>
        <v>23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1-0-1</v>
      </c>
      <c r="R87" s="1" t="str">
        <f>IF(R86="","0-0-0",CONCATENATE(R86,"-",S86,"-",T86))</f>
        <v>2-3-0</v>
      </c>
      <c r="U87" s="1" t="str">
        <f>IF(U86="","0-0-0",CONCATENATE(U86,"-",V86,"-",W86))</f>
        <v>1-3-0</v>
      </c>
      <c r="X87" s="1" t="str">
        <f>IF(X86="","0-0-0",CONCATENATE(X86,"-",Y86,"-",Z86))</f>
        <v>1-3-1</v>
      </c>
      <c r="AA87" s="1" t="str">
        <f>IF(AA86="","0-0",CONCATENATE(AA86,AB86))</f>
        <v>L1</v>
      </c>
      <c r="AD87" s="1" t="str">
        <f>IF(AD86="","0-0-0",CONCATENATE(AD86,"-",AE86,"-",AF86))</f>
        <v>3-3-1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400-000002000000}">
      <formula1>$AK$1:$AK$2</formula1>
    </dataValidation>
    <dataValidation type="list" allowBlank="1" showInputMessage="1" showErrorMessage="1" sqref="C2:C85" xr:uid="{00000000-0002-0000-D400-000001000000}">
      <formula1>$AL$1:$AL$2</formula1>
    </dataValidation>
    <dataValidation type="list" allowBlank="1" showInputMessage="1" showErrorMessage="1" sqref="D2:D85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46296</v>
      </c>
      <c r="B2" s="1">
        <v>1</v>
      </c>
      <c r="C2" s="1" t="s">
        <v>59</v>
      </c>
      <c r="D2" s="1" t="s">
        <v>12</v>
      </c>
      <c r="E2" s="1">
        <v>1</v>
      </c>
      <c r="F2" s="1">
        <v>5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46298</v>
      </c>
      <c r="B3" s="1">
        <v>2</v>
      </c>
      <c r="C3" s="1" t="s">
        <v>60</v>
      </c>
      <c r="D3" s="1" t="s">
        <v>1</v>
      </c>
      <c r="E3" s="1">
        <v>3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46300</v>
      </c>
      <c r="B4" s="1">
        <v>3</v>
      </c>
      <c r="C4" s="1" t="s">
        <v>60</v>
      </c>
      <c r="D4" s="1" t="s">
        <v>10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46303</v>
      </c>
      <c r="B5" s="1">
        <v>4</v>
      </c>
      <c r="C5" s="1" t="s">
        <v>60</v>
      </c>
      <c r="D5" s="1" t="s">
        <v>17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46305</v>
      </c>
      <c r="B6" s="1">
        <v>5</v>
      </c>
      <c r="C6" s="1" t="s">
        <v>59</v>
      </c>
      <c r="D6" s="1" t="s">
        <v>13</v>
      </c>
      <c r="E6" s="1">
        <v>5</v>
      </c>
      <c r="F6" s="1">
        <v>3</v>
      </c>
      <c r="G6" s="1" t="s">
        <v>77</v>
      </c>
      <c r="H6" s="1" t="s">
        <v>77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12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3">
      <c r="A8" s="42">
        <v>46310</v>
      </c>
      <c r="B8" s="1">
        <v>7</v>
      </c>
      <c r="C8" s="1" t="s">
        <v>60</v>
      </c>
      <c r="D8" s="1" t="s">
        <v>7</v>
      </c>
      <c r="E8" s="1">
        <v>4</v>
      </c>
      <c r="F8" s="1">
        <v>3</v>
      </c>
      <c r="G8" s="1" t="s">
        <v>78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3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2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46318</v>
      </c>
      <c r="B11" s="1">
        <v>10</v>
      </c>
      <c r="C11" s="1" t="s">
        <v>59</v>
      </c>
      <c r="D11" s="1" t="s">
        <v>24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46319</v>
      </c>
      <c r="B12" s="1">
        <v>11</v>
      </c>
      <c r="C12" s="1" t="s">
        <v>59</v>
      </c>
      <c r="D12" s="1" t="s">
        <v>89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60</v>
      </c>
      <c r="D13" s="1" t="s">
        <v>0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46326</v>
      </c>
      <c r="B14" s="1">
        <v>13</v>
      </c>
      <c r="C14" s="1" t="s">
        <v>59</v>
      </c>
      <c r="D14" s="1" t="s">
        <v>15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46331</v>
      </c>
      <c r="B16" s="1">
        <v>15</v>
      </c>
      <c r="C16" s="1" t="s">
        <v>60</v>
      </c>
      <c r="D16" s="1" t="s">
        <v>25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46333</v>
      </c>
      <c r="B17" s="1">
        <v>16</v>
      </c>
      <c r="C17" s="1" t="s">
        <v>59</v>
      </c>
      <c r="D17" s="1" t="s">
        <v>17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46334</v>
      </c>
      <c r="B18" s="1">
        <v>17</v>
      </c>
      <c r="C18" s="1" t="s">
        <v>59</v>
      </c>
      <c r="D18" s="1" t="s">
        <v>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46337</v>
      </c>
      <c r="B19" s="1">
        <v>18</v>
      </c>
      <c r="C19" s="1" t="s">
        <v>59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46338</v>
      </c>
      <c r="B20" s="1">
        <v>19</v>
      </c>
      <c r="C20" s="1" t="s">
        <v>59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46340</v>
      </c>
      <c r="B21" s="1">
        <v>20</v>
      </c>
      <c r="C21" s="1" t="s">
        <v>60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46343</v>
      </c>
      <c r="B22" s="1">
        <v>21</v>
      </c>
      <c r="C22" s="1" t="s">
        <v>60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46345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46348</v>
      </c>
      <c r="B24" s="1">
        <v>23</v>
      </c>
      <c r="C24" s="1" t="s">
        <v>60</v>
      </c>
      <c r="D24" s="1" t="s">
        <v>28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46351</v>
      </c>
      <c r="B25" s="1">
        <v>24</v>
      </c>
      <c r="C25" s="1" t="s">
        <v>60</v>
      </c>
      <c r="D25" s="1" t="s">
        <v>26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46353</v>
      </c>
      <c r="B26" s="1">
        <v>25</v>
      </c>
      <c r="C26" s="1" t="s">
        <v>60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3">
      <c r="A27" s="42">
        <v>46354</v>
      </c>
      <c r="B27" s="1">
        <v>26</v>
      </c>
      <c r="C27" s="1" t="s">
        <v>59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46358</v>
      </c>
      <c r="B28" s="1">
        <v>27</v>
      </c>
      <c r="C28" s="1" t="s">
        <v>59</v>
      </c>
      <c r="D28" s="1" t="s">
        <v>16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46361</v>
      </c>
      <c r="B29" s="1">
        <v>28</v>
      </c>
      <c r="C29" s="1" t="s">
        <v>59</v>
      </c>
      <c r="D29" s="1" t="s">
        <v>11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46363</v>
      </c>
      <c r="B30" s="1">
        <v>29</v>
      </c>
      <c r="C30" s="1" t="s">
        <v>60</v>
      </c>
      <c r="D30" s="1" t="s">
        <v>23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46366</v>
      </c>
      <c r="B31" s="1">
        <v>30</v>
      </c>
      <c r="C31" s="1" t="s">
        <v>60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46368</v>
      </c>
      <c r="B32" s="1">
        <v>31</v>
      </c>
      <c r="C32" s="1" t="s">
        <v>60</v>
      </c>
      <c r="D32" s="1" t="s">
        <v>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46369</v>
      </c>
      <c r="B33" s="1">
        <v>32</v>
      </c>
      <c r="C33" s="1" t="s">
        <v>59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46371</v>
      </c>
      <c r="B34" s="1">
        <v>33</v>
      </c>
      <c r="C34" s="1" t="s">
        <v>59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46373</v>
      </c>
      <c r="B35" s="1">
        <v>34</v>
      </c>
      <c r="C35" s="1" t="s">
        <v>60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46375</v>
      </c>
      <c r="B36" s="1">
        <v>35</v>
      </c>
      <c r="C36" s="1" t="s">
        <v>59</v>
      </c>
      <c r="D36" s="1" t="s">
        <v>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46376</v>
      </c>
      <c r="B37" s="1">
        <v>36</v>
      </c>
      <c r="C37" s="1" t="s">
        <v>59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46378</v>
      </c>
      <c r="B38" s="1">
        <v>37</v>
      </c>
      <c r="C38" s="1" t="s">
        <v>60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46382</v>
      </c>
      <c r="B39" s="1">
        <v>38</v>
      </c>
      <c r="C39" s="1" t="s">
        <v>59</v>
      </c>
      <c r="D39" s="1" t="s">
        <v>19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46384</v>
      </c>
      <c r="B40" s="1">
        <v>39</v>
      </c>
      <c r="C40" s="1" t="s">
        <v>59</v>
      </c>
      <c r="D40" s="1" t="s">
        <v>26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46385</v>
      </c>
      <c r="B41" s="1">
        <v>40</v>
      </c>
      <c r="C41" s="1" t="s">
        <v>60</v>
      </c>
      <c r="D41" s="1" t="s">
        <v>15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46387</v>
      </c>
      <c r="B42" s="1">
        <v>41</v>
      </c>
      <c r="C42" s="1" t="s">
        <v>60</v>
      </c>
      <c r="D42" s="1" t="s">
        <v>16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46024</v>
      </c>
      <c r="B43" s="1">
        <v>42</v>
      </c>
      <c r="C43" s="1" t="s">
        <v>60</v>
      </c>
      <c r="D43" s="1" t="s">
        <v>28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46027</v>
      </c>
      <c r="B44" s="1">
        <v>43</v>
      </c>
      <c r="C44" s="1" t="s">
        <v>59</v>
      </c>
      <c r="D44" s="1" t="s">
        <v>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46029</v>
      </c>
      <c r="B45" s="1">
        <v>44</v>
      </c>
      <c r="C45" s="1" t="s">
        <v>59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46031</v>
      </c>
      <c r="B46" s="1">
        <v>45</v>
      </c>
      <c r="C46" s="1" t="s">
        <v>59</v>
      </c>
      <c r="D46" s="1" t="s">
        <v>27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46033</v>
      </c>
      <c r="B47" s="1">
        <v>46</v>
      </c>
      <c r="C47" s="1" t="s">
        <v>59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46036</v>
      </c>
      <c r="B48" s="1">
        <v>47</v>
      </c>
      <c r="C48" s="1" t="s">
        <v>60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46038</v>
      </c>
      <c r="B49" s="1">
        <v>48</v>
      </c>
      <c r="C49" s="1" t="s">
        <v>60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46040</v>
      </c>
      <c r="B50" s="1">
        <v>49</v>
      </c>
      <c r="C50" s="1" t="s">
        <v>59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46043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59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46048</v>
      </c>
      <c r="B53" s="1">
        <v>52</v>
      </c>
      <c r="C53" s="1" t="s">
        <v>60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46052</v>
      </c>
      <c r="B54" s="1">
        <v>53</v>
      </c>
      <c r="C54" s="1" t="s">
        <v>60</v>
      </c>
      <c r="D54" s="1" t="s">
        <v>13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46055</v>
      </c>
      <c r="B55" s="1">
        <v>54</v>
      </c>
      <c r="C55" s="1" t="s">
        <v>59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46056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46065</v>
      </c>
      <c r="B57" s="1">
        <v>56</v>
      </c>
      <c r="C57" s="1" t="s">
        <v>60</v>
      </c>
      <c r="D57" s="1" t="s">
        <v>22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46066</v>
      </c>
      <c r="B58" s="1">
        <v>57</v>
      </c>
      <c r="C58" s="1" t="s">
        <v>60</v>
      </c>
      <c r="D58" s="1" t="s">
        <v>24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46069</v>
      </c>
      <c r="B59" s="1">
        <v>58</v>
      </c>
      <c r="C59" s="1" t="s">
        <v>60</v>
      </c>
      <c r="D59" s="1" t="s">
        <v>19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46071</v>
      </c>
      <c r="B60" s="1">
        <v>59</v>
      </c>
      <c r="C60" s="1" t="s">
        <v>60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46073</v>
      </c>
      <c r="B61" s="1">
        <v>60</v>
      </c>
      <c r="C61" s="1" t="s">
        <v>60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46076</v>
      </c>
      <c r="B62" s="1">
        <v>61</v>
      </c>
      <c r="C62" s="1" t="s">
        <v>60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46080</v>
      </c>
      <c r="B64" s="1">
        <v>63</v>
      </c>
      <c r="C64" s="1" t="s">
        <v>59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46081</v>
      </c>
      <c r="B65" s="1">
        <v>64</v>
      </c>
      <c r="C65" s="1" t="s">
        <v>60</v>
      </c>
      <c r="D65" s="1" t="s">
        <v>89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46084</v>
      </c>
      <c r="B66" s="1">
        <v>65</v>
      </c>
      <c r="C66" s="1" t="s">
        <v>59</v>
      </c>
      <c r="D66" s="1" t="s">
        <v>18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46086</v>
      </c>
      <c r="B67" s="1">
        <v>66</v>
      </c>
      <c r="C67" s="1" t="s">
        <v>59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46087</v>
      </c>
      <c r="B68" s="1">
        <v>67</v>
      </c>
      <c r="C68" s="1" t="s">
        <v>59</v>
      </c>
      <c r="D68" s="1" t="s">
        <v>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46089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46092</v>
      </c>
      <c r="B70" s="1">
        <v>69</v>
      </c>
      <c r="C70" s="1" t="s">
        <v>60</v>
      </c>
      <c r="D70" s="1" t="s">
        <v>14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46094</v>
      </c>
      <c r="B71" s="1">
        <v>70</v>
      </c>
      <c r="C71" s="1" t="s">
        <v>60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46096</v>
      </c>
      <c r="B72" s="1">
        <v>71</v>
      </c>
      <c r="C72" s="1" t="s">
        <v>59</v>
      </c>
      <c r="D72" s="1" t="s">
        <v>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46098</v>
      </c>
      <c r="B73" s="1">
        <v>72</v>
      </c>
      <c r="C73" s="1" t="s">
        <v>59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46101</v>
      </c>
      <c r="B75" s="1">
        <v>74</v>
      </c>
      <c r="C75" s="1" t="s">
        <v>59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46104</v>
      </c>
      <c r="B76" s="1">
        <v>75</v>
      </c>
      <c r="C76" s="1" t="s">
        <v>60</v>
      </c>
      <c r="D76" s="1" t="s">
        <v>19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46106</v>
      </c>
      <c r="B77" s="1">
        <v>76</v>
      </c>
      <c r="C77" s="1" t="s">
        <v>60</v>
      </c>
      <c r="D77" s="1" t="s">
        <v>10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46108</v>
      </c>
      <c r="B78" s="1">
        <v>77</v>
      </c>
      <c r="C78" s="1" t="s">
        <v>60</v>
      </c>
      <c r="D78" s="1" t="s">
        <v>12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23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14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60</v>
      </c>
      <c r="D84" s="1" t="s">
        <v>16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60</v>
      </c>
      <c r="D85" s="1" t="s">
        <v>29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5</v>
      </c>
      <c r="J86" s="1">
        <f t="shared" si="99"/>
        <v>2</v>
      </c>
      <c r="K86" s="1">
        <f t="shared" si="99"/>
        <v>1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0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0</v>
      </c>
      <c r="V86" s="1">
        <f t="shared" si="100"/>
        <v>0</v>
      </c>
      <c r="W86" s="1">
        <f t="shared" si="100"/>
        <v>0</v>
      </c>
      <c r="X86" s="1">
        <f t="shared" si="100"/>
        <v>3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5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21</v>
      </c>
      <c r="F87" s="1">
        <f>SUM(F2:F85)</f>
        <v>19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4-0-0</v>
      </c>
      <c r="R87" s="1" t="str">
        <f>IF(R86="","0-0-0",CONCATENATE(R86,"-",S86,"-",T86))</f>
        <v>1-2-0</v>
      </c>
      <c r="U87" s="1" t="str">
        <f>IF(U86="","0-0-0",CONCATENATE(U86,"-",V86,"-",W86))</f>
        <v>0-0-0</v>
      </c>
      <c r="X87" s="1" t="str">
        <f>IF(X86="","0-0-0",CONCATENATE(X86,"-",Y86,"-",Z86))</f>
        <v>3-2-0</v>
      </c>
      <c r="AA87" s="1" t="str">
        <f>IF(AA86="","0-0",CONCATENATE(AA86,AB86))</f>
        <v>W1</v>
      </c>
      <c r="AD87" s="1" t="str">
        <f>IF(AD86="","0-0-0",CONCATENATE(AD86,"-",AE86,"-",AF86))</f>
        <v>5-2-0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500-000002000000}">
      <formula1>$AK$1:$AK$2</formula1>
    </dataValidation>
    <dataValidation type="list" allowBlank="1" showInputMessage="1" showErrorMessage="1" sqref="C2:C85" xr:uid="{00000000-0002-0000-D500-000000000000}">
      <formula1>$AL$1:$AL$2</formula1>
    </dataValidation>
    <dataValidation type="list" allowBlank="1" showInputMessage="1" showErrorMessage="1" sqref="D2:D85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5" width="9.109375" style="1"/>
    <col min="6" max="6" width="9.109375" style="20"/>
    <col min="7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20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29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16</v>
      </c>
      <c r="E2" s="1">
        <v>2</v>
      </c>
      <c r="F2" s="20">
        <v>3</v>
      </c>
      <c r="G2" s="1" t="s">
        <v>77</v>
      </c>
      <c r="H2" s="1" t="s">
        <v>77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28</v>
      </c>
    </row>
    <row r="3" spans="1:41" x14ac:dyDescent="0.3">
      <c r="A3" s="42">
        <v>46295</v>
      </c>
      <c r="B3" s="1">
        <v>2</v>
      </c>
      <c r="C3" s="1" t="s">
        <v>60</v>
      </c>
      <c r="D3" s="1" t="s">
        <v>13</v>
      </c>
      <c r="E3" s="1">
        <v>2</v>
      </c>
      <c r="F3" s="20">
        <v>1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21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11</v>
      </c>
      <c r="E4" s="1">
        <v>2</v>
      </c>
      <c r="F4" s="20">
        <v>3</v>
      </c>
      <c r="G4" s="1" t="s">
        <v>77</v>
      </c>
      <c r="H4" s="1" t="s">
        <v>77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3">
      <c r="A5" s="42">
        <v>46301</v>
      </c>
      <c r="B5" s="1">
        <v>4</v>
      </c>
      <c r="C5" s="1" t="s">
        <v>60</v>
      </c>
      <c r="D5" s="1" t="s">
        <v>15</v>
      </c>
      <c r="E5" s="1">
        <v>5</v>
      </c>
      <c r="F5" s="20">
        <v>4</v>
      </c>
      <c r="G5" s="1" t="s">
        <v>78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</v>
      </c>
      <c r="E6" s="1">
        <v>3</v>
      </c>
      <c r="F6" s="20">
        <v>4</v>
      </c>
      <c r="G6" s="1" t="s">
        <v>78</v>
      </c>
      <c r="H6" s="1" t="s">
        <v>78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0</v>
      </c>
      <c r="T6" s="1">
        <f t="shared" si="13"/>
        <v>1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11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24</v>
      </c>
      <c r="E7" s="1">
        <v>6</v>
      </c>
      <c r="F7" s="20">
        <v>3</v>
      </c>
      <c r="G7" s="1" t="s">
        <v>77</v>
      </c>
      <c r="H7" s="1" t="s">
        <v>77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1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3">
      <c r="A8" s="42">
        <v>46308</v>
      </c>
      <c r="B8" s="1">
        <v>7</v>
      </c>
      <c r="C8" s="1" t="s">
        <v>59</v>
      </c>
      <c r="D8" s="1" t="s">
        <v>89</v>
      </c>
      <c r="E8" s="1">
        <v>4</v>
      </c>
      <c r="F8" s="20">
        <v>5</v>
      </c>
      <c r="G8" s="1" t="s">
        <v>77</v>
      </c>
      <c r="H8" s="1" t="s">
        <v>77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3">
      <c r="A9" s="42">
        <v>46310</v>
      </c>
      <c r="B9" s="1">
        <v>8</v>
      </c>
      <c r="C9" s="1" t="s">
        <v>60</v>
      </c>
      <c r="D9" s="1" t="s">
        <v>28</v>
      </c>
      <c r="E9" s="1">
        <v>4</v>
      </c>
      <c r="F9" s="20">
        <v>5</v>
      </c>
      <c r="G9" s="1" t="s">
        <v>78</v>
      </c>
      <c r="H9" s="1" t="s">
        <v>77</v>
      </c>
      <c r="I9" s="1">
        <f t="shared" si="2"/>
        <v>3</v>
      </c>
      <c r="J9" s="1">
        <f t="shared" si="3"/>
        <v>3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13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46315</v>
      </c>
      <c r="B12" s="1">
        <v>11</v>
      </c>
      <c r="C12" s="1" t="s">
        <v>59</v>
      </c>
      <c r="D12" s="1" t="s">
        <v>23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12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46321</v>
      </c>
      <c r="B15" s="1">
        <v>14</v>
      </c>
      <c r="C15" s="1" t="s">
        <v>59</v>
      </c>
      <c r="D15" s="1" t="s">
        <v>27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3">
      <c r="A16" s="42">
        <v>46323</v>
      </c>
      <c r="B16" s="1">
        <v>15</v>
      </c>
      <c r="C16" s="1" t="s">
        <v>59</v>
      </c>
      <c r="D16" s="1" t="s">
        <v>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59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89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60</v>
      </c>
      <c r="D19" s="1" t="s">
        <v>16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46336</v>
      </c>
      <c r="B21" s="1">
        <v>20</v>
      </c>
      <c r="C21" s="1" t="s">
        <v>60</v>
      </c>
      <c r="D21" s="1" t="s">
        <v>24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46338</v>
      </c>
      <c r="B22" s="1">
        <v>21</v>
      </c>
      <c r="C22" s="1" t="s">
        <v>60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46340</v>
      </c>
      <c r="B23" s="1">
        <v>22</v>
      </c>
      <c r="C23" s="1" t="s">
        <v>60</v>
      </c>
      <c r="D23" s="1" t="s">
        <v>20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59</v>
      </c>
      <c r="D24" s="1" t="s">
        <v>25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23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46349</v>
      </c>
      <c r="B27" s="1">
        <v>26</v>
      </c>
      <c r="C27" s="1" t="s">
        <v>59</v>
      </c>
      <c r="D27" s="1" t="s">
        <v>12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89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29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46365</v>
      </c>
      <c r="B33" s="1">
        <v>32</v>
      </c>
      <c r="C33" s="1" t="s">
        <v>59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46368</v>
      </c>
      <c r="B34" s="1">
        <v>33</v>
      </c>
      <c r="C34" s="1" t="s">
        <v>60</v>
      </c>
      <c r="D34" s="1" t="s">
        <v>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46369</v>
      </c>
      <c r="B35" s="1">
        <v>34</v>
      </c>
      <c r="C35" s="1" t="s">
        <v>60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46371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46373</v>
      </c>
      <c r="B37" s="1">
        <v>36</v>
      </c>
      <c r="C37" s="1" t="s">
        <v>59</v>
      </c>
      <c r="D37" s="1" t="s">
        <v>14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46377</v>
      </c>
      <c r="B39" s="1">
        <v>38</v>
      </c>
      <c r="C39" s="1" t="s">
        <v>60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59</v>
      </c>
      <c r="D43" s="1" t="s">
        <v>18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59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46398</v>
      </c>
      <c r="B48" s="1">
        <v>47</v>
      </c>
      <c r="C48" s="1" t="s">
        <v>60</v>
      </c>
      <c r="D48" s="1" t="s">
        <v>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60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46410</v>
      </c>
      <c r="B53" s="1">
        <v>52</v>
      </c>
      <c r="C53" s="1" t="s">
        <v>59</v>
      </c>
      <c r="D53" s="1" t="s">
        <v>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46413</v>
      </c>
      <c r="B54" s="1">
        <v>53</v>
      </c>
      <c r="C54" s="1" t="s">
        <v>60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46414</v>
      </c>
      <c r="B55" s="1">
        <v>54</v>
      </c>
      <c r="C55" s="1" t="s">
        <v>59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46417</v>
      </c>
      <c r="B56" s="1">
        <v>55</v>
      </c>
      <c r="C56" s="1" t="s">
        <v>59</v>
      </c>
      <c r="D56" s="1" t="s">
        <v>29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46426</v>
      </c>
      <c r="B57" s="1">
        <v>56</v>
      </c>
      <c r="C57" s="1" t="s">
        <v>60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46428</v>
      </c>
      <c r="B58" s="1">
        <v>57</v>
      </c>
      <c r="C58" s="1" t="s">
        <v>60</v>
      </c>
      <c r="D58" s="1" t="s">
        <v>29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46431</v>
      </c>
      <c r="B59" s="1">
        <v>58</v>
      </c>
      <c r="C59" s="1" t="s">
        <v>59</v>
      </c>
      <c r="D59" s="1" t="s">
        <v>11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46434</v>
      </c>
      <c r="B60" s="1">
        <v>59</v>
      </c>
      <c r="C60" s="1" t="s">
        <v>60</v>
      </c>
      <c r="D60" s="1" t="s">
        <v>26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46436</v>
      </c>
      <c r="B61" s="1">
        <v>60</v>
      </c>
      <c r="C61" s="1" t="s">
        <v>59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46438</v>
      </c>
      <c r="B62" s="1">
        <v>61</v>
      </c>
      <c r="C62" s="1" t="s">
        <v>59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46441</v>
      </c>
      <c r="B63" s="1">
        <v>62</v>
      </c>
      <c r="C63" s="1" t="s">
        <v>60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46443</v>
      </c>
      <c r="B64" s="1">
        <v>63</v>
      </c>
      <c r="C64" s="1" t="s">
        <v>59</v>
      </c>
      <c r="D64" s="1" t="s">
        <v>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46445</v>
      </c>
      <c r="B65" s="1">
        <v>64</v>
      </c>
      <c r="C65" s="1" t="s">
        <v>59</v>
      </c>
      <c r="D65" s="1" t="s">
        <v>28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46447</v>
      </c>
      <c r="B66" s="1">
        <v>65</v>
      </c>
      <c r="C66" s="1" t="s">
        <v>60</v>
      </c>
      <c r="D66" s="1" t="s">
        <v>21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46449</v>
      </c>
      <c r="B67" s="1">
        <v>66</v>
      </c>
      <c r="C67" s="1" t="s">
        <v>60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46451</v>
      </c>
      <c r="B68" s="1">
        <v>67</v>
      </c>
      <c r="C68" s="1" t="s">
        <v>59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46454</v>
      </c>
      <c r="B70" s="1">
        <v>69</v>
      </c>
      <c r="C70" s="1" t="s">
        <v>60</v>
      </c>
      <c r="D70" s="1" t="s">
        <v>22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60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46461</v>
      </c>
      <c r="B73" s="1">
        <v>72</v>
      </c>
      <c r="C73" s="1" t="s">
        <v>60</v>
      </c>
      <c r="D73" s="1" t="s">
        <v>19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46464</v>
      </c>
      <c r="B75" s="1">
        <v>74</v>
      </c>
      <c r="C75" s="1" t="s">
        <v>59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46468</v>
      </c>
      <c r="B77" s="1">
        <v>76</v>
      </c>
      <c r="C77" s="1" t="s">
        <v>59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46474</v>
      </c>
      <c r="B80" s="1">
        <v>79</v>
      </c>
      <c r="C80" s="1" t="s">
        <v>60</v>
      </c>
      <c r="D80" s="1" t="s">
        <v>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46476</v>
      </c>
      <c r="B81" s="1">
        <v>80</v>
      </c>
      <c r="C81" s="1" t="s">
        <v>59</v>
      </c>
      <c r="D81" s="1" t="s">
        <v>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46478</v>
      </c>
      <c r="B82" s="1">
        <v>81</v>
      </c>
      <c r="C82" s="1" t="s">
        <v>59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46480</v>
      </c>
      <c r="B83" s="1">
        <v>82</v>
      </c>
      <c r="C83" s="1" t="s">
        <v>60</v>
      </c>
      <c r="D83" s="1" t="s">
        <v>28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46482</v>
      </c>
      <c r="B84" s="1">
        <v>83</v>
      </c>
      <c r="C84" s="1" t="s">
        <v>60</v>
      </c>
      <c r="D84" s="1" t="s">
        <v>29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12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3</v>
      </c>
      <c r="J86" s="1">
        <f t="shared" si="99"/>
        <v>3</v>
      </c>
      <c r="K86" s="1">
        <f t="shared" si="99"/>
        <v>1</v>
      </c>
      <c r="L86" s="1">
        <f t="shared" si="99"/>
        <v>2</v>
      </c>
      <c r="M86" s="1">
        <f t="shared" si="99"/>
        <v>0</v>
      </c>
      <c r="N86" s="1">
        <f t="shared" si="99"/>
        <v>1</v>
      </c>
      <c r="O86" s="1">
        <f t="shared" ref="O86:Z86" si="100">IF(O2="","",MAX(O2:O85))</f>
        <v>2</v>
      </c>
      <c r="P86" s="1">
        <f t="shared" si="100"/>
        <v>2</v>
      </c>
      <c r="Q86" s="1">
        <f t="shared" si="100"/>
        <v>1</v>
      </c>
      <c r="R86" s="1">
        <f t="shared" si="100"/>
        <v>1</v>
      </c>
      <c r="S86" s="1">
        <f t="shared" si="100"/>
        <v>1</v>
      </c>
      <c r="T86" s="1">
        <f t="shared" si="100"/>
        <v>1</v>
      </c>
      <c r="U86" s="1">
        <f t="shared" si="100"/>
        <v>0</v>
      </c>
      <c r="V86" s="1">
        <f t="shared" si="100"/>
        <v>2</v>
      </c>
      <c r="W86" s="1">
        <f t="shared" si="100"/>
        <v>1</v>
      </c>
      <c r="X86" s="1">
        <f t="shared" si="100"/>
        <v>1</v>
      </c>
      <c r="Y86" s="1">
        <f t="shared" si="100"/>
        <v>2</v>
      </c>
      <c r="Z86" s="1">
        <f t="shared" si="100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3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28</v>
      </c>
      <c r="F87" s="20">
        <f>SUM(F2:F85)</f>
        <v>28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2-2-1</v>
      </c>
      <c r="R87" s="1" t="str">
        <f>IF(R86="","0-0-0",CONCATENATE(R86,"-",S86,"-",T86))</f>
        <v>1-1-1</v>
      </c>
      <c r="U87" s="1" t="str">
        <f>IF(U86="","0-0-0",CONCATENATE(U86,"-",V86,"-",W86))</f>
        <v>0-2-1</v>
      </c>
      <c r="X87" s="1" t="str">
        <f>IF(X86="","0-0-0",CONCATENATE(X86,"-",Y86,"-",Z86))</f>
        <v>1-2-1</v>
      </c>
      <c r="AA87" s="1" t="str">
        <f>IF(AA86="","0-0",CONCATENATE(AA86,AB86))</f>
        <v>L2</v>
      </c>
      <c r="AD87" s="1" t="str">
        <f>IF(AD86="","0-0-0",CONCATENATE(AD86,"-",AE86,"-",AF86))</f>
        <v>3-3-2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20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600-000002000000}">
      <formula1>$AK$1:$AK$2</formula1>
    </dataValidation>
    <dataValidation type="list" allowBlank="1" showInputMessage="1" showErrorMessage="1" sqref="C2:C85" xr:uid="{00000000-0002-0000-D600-000001000000}">
      <formula1>$AL$1:$AL$2</formula1>
    </dataValidation>
    <dataValidation type="list" allowBlank="1" showInputMessage="1" showErrorMessage="1" sqref="D2:D85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46296</v>
      </c>
      <c r="B2" s="1">
        <v>1</v>
      </c>
      <c r="C2" s="1" t="s">
        <v>60</v>
      </c>
      <c r="D2" s="1" t="s">
        <v>25</v>
      </c>
      <c r="E2" s="1">
        <v>6</v>
      </c>
      <c r="F2" s="1">
        <v>0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23</v>
      </c>
      <c r="E3" s="1">
        <v>4</v>
      </c>
      <c r="F3" s="1">
        <v>1</v>
      </c>
      <c r="G3" s="1" t="s">
        <v>77</v>
      </c>
      <c r="H3" s="1" t="s">
        <v>77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12</v>
      </c>
      <c r="E4" s="1">
        <v>2</v>
      </c>
      <c r="F4" s="1">
        <v>4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14</v>
      </c>
      <c r="E5" s="1">
        <v>5</v>
      </c>
      <c r="F5" s="1">
        <v>3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29</v>
      </c>
      <c r="E6" s="1">
        <v>1</v>
      </c>
      <c r="F6" s="1">
        <v>6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0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28</v>
      </c>
      <c r="E7" s="1">
        <v>4</v>
      </c>
      <c r="F7" s="1">
        <v>1</v>
      </c>
      <c r="G7" s="1" t="s">
        <v>77</v>
      </c>
      <c r="H7" s="1" t="s">
        <v>77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0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3">
      <c r="A8" s="42">
        <v>46308</v>
      </c>
      <c r="B8" s="1">
        <v>7</v>
      </c>
      <c r="C8" s="1" t="s">
        <v>60</v>
      </c>
      <c r="D8" s="1" t="s">
        <v>4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1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46310</v>
      </c>
      <c r="B9" s="1">
        <v>8</v>
      </c>
      <c r="C9" s="1" t="s">
        <v>59</v>
      </c>
      <c r="D9" s="1" t="s">
        <v>20</v>
      </c>
      <c r="E9" s="1">
        <v>4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3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46312</v>
      </c>
      <c r="B10" s="1">
        <v>9</v>
      </c>
      <c r="C10" s="1" t="s">
        <v>60</v>
      </c>
      <c r="D10" s="1" t="s">
        <v>20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46314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46317</v>
      </c>
      <c r="B12" s="1">
        <v>11</v>
      </c>
      <c r="C12" s="1" t="s">
        <v>59</v>
      </c>
      <c r="D12" s="1" t="s">
        <v>7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46319</v>
      </c>
      <c r="B13" s="1">
        <v>12</v>
      </c>
      <c r="C13" s="1" t="s">
        <v>60</v>
      </c>
      <c r="D13" s="1" t="s">
        <v>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3</v>
      </c>
    </row>
    <row r="14" spans="1:41" x14ac:dyDescent="0.3">
      <c r="A14" s="42">
        <v>46322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46324</v>
      </c>
      <c r="B15" s="1">
        <v>14</v>
      </c>
      <c r="C15" s="1" t="s">
        <v>59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59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46333</v>
      </c>
      <c r="B19" s="1">
        <v>18</v>
      </c>
      <c r="C19" s="1" t="s">
        <v>59</v>
      </c>
      <c r="D19" s="1" t="s">
        <v>11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46337</v>
      </c>
      <c r="B20" s="1">
        <v>19</v>
      </c>
      <c r="C20" s="1" t="s">
        <v>59</v>
      </c>
      <c r="D20" s="1" t="s">
        <v>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60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60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46342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46344</v>
      </c>
      <c r="B24" s="1">
        <v>23</v>
      </c>
      <c r="C24" s="1" t="s">
        <v>60</v>
      </c>
      <c r="D24" s="1" t="s">
        <v>24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17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46358</v>
      </c>
      <c r="B31" s="1">
        <v>30</v>
      </c>
      <c r="C31" s="1" t="s">
        <v>60</v>
      </c>
      <c r="D31" s="1" t="s">
        <v>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46359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59</v>
      </c>
      <c r="D33" s="1" t="s">
        <v>18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46370</v>
      </c>
      <c r="B36" s="1">
        <v>35</v>
      </c>
      <c r="C36" s="1" t="s">
        <v>59</v>
      </c>
      <c r="D36" s="1" t="s">
        <v>24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46373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59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59</v>
      </c>
      <c r="D40" s="1" t="s">
        <v>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60</v>
      </c>
      <c r="D42" s="1" t="s">
        <v>14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46027</v>
      </c>
      <c r="B45" s="1">
        <v>44</v>
      </c>
      <c r="C45" s="1" t="s">
        <v>60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46029</v>
      </c>
      <c r="B46" s="1">
        <v>45</v>
      </c>
      <c r="C46" s="1" t="s">
        <v>59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46031</v>
      </c>
      <c r="B47" s="1">
        <v>46</v>
      </c>
      <c r="C47" s="1" t="s">
        <v>59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46034</v>
      </c>
      <c r="B48" s="1">
        <v>47</v>
      </c>
      <c r="C48" s="1" t="s">
        <v>59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46035</v>
      </c>
      <c r="B49" s="1">
        <v>48</v>
      </c>
      <c r="C49" s="1" t="s">
        <v>60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46037</v>
      </c>
      <c r="B50" s="1">
        <v>49</v>
      </c>
      <c r="C50" s="1" t="s">
        <v>60</v>
      </c>
      <c r="D50" s="1" t="s">
        <v>18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46040</v>
      </c>
      <c r="B51" s="1">
        <v>50</v>
      </c>
      <c r="C51" s="1" t="s">
        <v>59</v>
      </c>
      <c r="D51" s="1" t="s">
        <v>8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46045</v>
      </c>
      <c r="B52" s="1">
        <v>51</v>
      </c>
      <c r="C52" s="1" t="s">
        <v>60</v>
      </c>
      <c r="D52" s="1" t="s">
        <v>29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46047</v>
      </c>
      <c r="B53" s="1">
        <v>52</v>
      </c>
      <c r="C53" s="1" t="s">
        <v>60</v>
      </c>
      <c r="D53" s="1" t="s">
        <v>17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46049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46051</v>
      </c>
      <c r="B55" s="1">
        <v>54</v>
      </c>
      <c r="C55" s="1" t="s">
        <v>60</v>
      </c>
      <c r="D55" s="1" t="s">
        <v>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46053</v>
      </c>
      <c r="B56" s="1">
        <v>55</v>
      </c>
      <c r="C56" s="1" t="s">
        <v>60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46055</v>
      </c>
      <c r="B57" s="1">
        <v>56</v>
      </c>
      <c r="C57" s="1" t="s">
        <v>60</v>
      </c>
      <c r="D57" s="1" t="s">
        <v>15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46065</v>
      </c>
      <c r="B59" s="1">
        <v>58</v>
      </c>
      <c r="C59" s="1" t="s">
        <v>60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46067</v>
      </c>
      <c r="B60" s="1">
        <v>59</v>
      </c>
      <c r="C60" s="1" t="s">
        <v>59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46068</v>
      </c>
      <c r="B61" s="1">
        <v>60</v>
      </c>
      <c r="C61" s="1" t="s">
        <v>59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46070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46072</v>
      </c>
      <c r="B63" s="1">
        <v>62</v>
      </c>
      <c r="C63" s="1" t="s">
        <v>60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46074</v>
      </c>
      <c r="B64" s="1">
        <v>63</v>
      </c>
      <c r="C64" s="1" t="s">
        <v>59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46077</v>
      </c>
      <c r="B65" s="1">
        <v>64</v>
      </c>
      <c r="C65" s="1" t="s">
        <v>60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46079</v>
      </c>
      <c r="B66" s="1">
        <v>65</v>
      </c>
      <c r="C66" s="1" t="s">
        <v>60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46081</v>
      </c>
      <c r="B67" s="1">
        <v>66</v>
      </c>
      <c r="C67" s="1" t="s">
        <v>59</v>
      </c>
      <c r="D67" s="1" t="s">
        <v>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46083</v>
      </c>
      <c r="B68" s="1">
        <v>67</v>
      </c>
      <c r="C68" s="1" t="s">
        <v>59</v>
      </c>
      <c r="D68" s="1" t="s">
        <v>19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46085</v>
      </c>
      <c r="B69" s="1">
        <v>68</v>
      </c>
      <c r="C69" s="1" t="s">
        <v>59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46088</v>
      </c>
      <c r="B70" s="1">
        <v>69</v>
      </c>
      <c r="C70" s="1" t="s">
        <v>59</v>
      </c>
      <c r="D70" s="1" t="s">
        <v>26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46090</v>
      </c>
      <c r="B71" s="1">
        <v>70</v>
      </c>
      <c r="C71" s="1" t="s">
        <v>60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46096</v>
      </c>
      <c r="B73" s="1">
        <v>72</v>
      </c>
      <c r="C73" s="1" t="s">
        <v>60</v>
      </c>
      <c r="D73" s="1" t="s">
        <v>22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46099</v>
      </c>
      <c r="B74" s="1">
        <v>73</v>
      </c>
      <c r="C74" s="1" t="s">
        <v>59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46100</v>
      </c>
      <c r="B75" s="1">
        <v>74</v>
      </c>
      <c r="C75" s="1" t="s">
        <v>60</v>
      </c>
      <c r="D75" s="1" t="s">
        <v>25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46102</v>
      </c>
      <c r="B76" s="1">
        <v>75</v>
      </c>
      <c r="C76" s="1" t="s">
        <v>59</v>
      </c>
      <c r="D76" s="1" t="s">
        <v>17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59</v>
      </c>
      <c r="D77" s="1" t="s">
        <v>24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46107</v>
      </c>
      <c r="B78" s="1">
        <v>77</v>
      </c>
      <c r="C78" s="1" t="s">
        <v>60</v>
      </c>
      <c r="D78" s="1" t="s">
        <v>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59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60</v>
      </c>
      <c r="D80" s="1" t="s">
        <v>31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46117</v>
      </c>
      <c r="B82" s="1">
        <v>81</v>
      </c>
      <c r="C82" s="1" t="s">
        <v>60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46121</v>
      </c>
      <c r="B84" s="1">
        <v>83</v>
      </c>
      <c r="C84" s="1" t="s">
        <v>59</v>
      </c>
      <c r="D84" s="1" t="s">
        <v>22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6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6</v>
      </c>
      <c r="J86" s="1">
        <f t="shared" si="99"/>
        <v>2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2</v>
      </c>
      <c r="P86" s="1">
        <f t="shared" si="100"/>
        <v>0</v>
      </c>
      <c r="Q86" s="1">
        <f t="shared" si="100"/>
        <v>0</v>
      </c>
      <c r="R86" s="1">
        <f t="shared" si="100"/>
        <v>4</v>
      </c>
      <c r="S86" s="1">
        <f t="shared" si="100"/>
        <v>2</v>
      </c>
      <c r="T86" s="1">
        <f t="shared" si="100"/>
        <v>0</v>
      </c>
      <c r="U86" s="1">
        <f t="shared" si="100"/>
        <v>1</v>
      </c>
      <c r="V86" s="1">
        <f t="shared" si="100"/>
        <v>0</v>
      </c>
      <c r="W86" s="1">
        <f t="shared" si="100"/>
        <v>0</v>
      </c>
      <c r="X86" s="1">
        <f t="shared" si="100"/>
        <v>2</v>
      </c>
      <c r="Y86" s="1">
        <f t="shared" si="100"/>
        <v>0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3</v>
      </c>
      <c r="AD86" s="1" cm="1">
        <f t="array" ref="AD86">IF(LOOKUP(2,1 / (AD1:AD85 &lt;&gt; ""),AD1:AD85)="L10 W","",LOOKUP(2,1 / (AD1:AD85 &lt;&gt; ""),AD1:AD85))</f>
        <v>6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31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2-0-0</v>
      </c>
      <c r="R87" s="1" t="str">
        <f>IF(R86="","0-0-0",CONCATENATE(R86,"-",S86,"-",T86))</f>
        <v>4-2-0</v>
      </c>
      <c r="U87" s="1" t="str">
        <f>IF(U86="","0-0-0",CONCATENATE(U86,"-",V86,"-",W86))</f>
        <v>1-0-0</v>
      </c>
      <c r="X87" s="1" t="str">
        <f>IF(X86="","0-0-0",CONCATENATE(X86,"-",Y86,"-",Z86))</f>
        <v>2-0-0</v>
      </c>
      <c r="AA87" s="1" t="str">
        <f>IF(AA86="","0-0",CONCATENATE(AA86,AB86))</f>
        <v>W3</v>
      </c>
      <c r="AD87" s="1" t="str">
        <f>IF(AD86="","0-0-0",CONCATENATE(AD86,"-",AE86,"-",AF86))</f>
        <v>6-2-0</v>
      </c>
    </row>
    <row r="88" spans="1:33" x14ac:dyDescent="0.3">
      <c r="C88" s="1">
        <f>SUM(C86:C87)</f>
        <v>84</v>
      </c>
      <c r="D88" s="1">
        <f>COUNTA(E2:E85)</f>
        <v>8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BC00-000002000000}">
      <formula1>$AK$1:$AK$2</formula1>
    </dataValidation>
    <dataValidation type="list" allowBlank="1" showInputMessage="1" showErrorMessage="1" sqref="C2:C85" xr:uid="{00000000-0002-0000-BC00-000001000000}">
      <formula1>$AL$1:$AL$2</formula1>
    </dataValidation>
    <dataValidation type="list" allowBlank="1" showInputMessage="1" showErrorMessage="1" sqref="D2:D85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59</v>
      </c>
      <c r="D2" s="1" t="s">
        <v>20</v>
      </c>
      <c r="E2" s="1">
        <v>6</v>
      </c>
      <c r="F2" s="1">
        <v>5</v>
      </c>
      <c r="G2" s="1" t="s">
        <v>78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46296</v>
      </c>
      <c r="B3" s="1">
        <v>2</v>
      </c>
      <c r="C3" s="1" t="s">
        <v>60</v>
      </c>
      <c r="D3" s="1" t="s">
        <v>20</v>
      </c>
      <c r="E3" s="1">
        <v>7</v>
      </c>
      <c r="F3" s="1">
        <v>9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46298</v>
      </c>
      <c r="B4" s="1">
        <v>3</v>
      </c>
      <c r="C4" s="1" t="s">
        <v>60</v>
      </c>
      <c r="D4" s="1" t="s">
        <v>27</v>
      </c>
      <c r="E4" s="1">
        <v>4</v>
      </c>
      <c r="F4" s="1">
        <v>1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46299</v>
      </c>
      <c r="B5" s="1">
        <v>4</v>
      </c>
      <c r="C5" s="1" t="s">
        <v>60</v>
      </c>
      <c r="D5" s="1" t="s">
        <v>2</v>
      </c>
      <c r="E5" s="1">
        <v>2</v>
      </c>
      <c r="F5" s="1">
        <v>3</v>
      </c>
      <c r="G5" s="1" t="s">
        <v>77</v>
      </c>
      <c r="H5" s="1" t="s">
        <v>77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59</v>
      </c>
      <c r="D6" s="1" t="s">
        <v>26</v>
      </c>
      <c r="E6" s="1">
        <v>2</v>
      </c>
      <c r="F6" s="1">
        <v>7</v>
      </c>
      <c r="G6" s="1" t="s">
        <v>77</v>
      </c>
      <c r="H6" s="1" t="s">
        <v>77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59</v>
      </c>
      <c r="D7" s="1" t="s">
        <v>14</v>
      </c>
      <c r="E7" s="1">
        <v>1</v>
      </c>
      <c r="F7" s="1">
        <v>4</v>
      </c>
      <c r="G7" s="1" t="s">
        <v>77</v>
      </c>
      <c r="H7" s="1" t="s">
        <v>77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3">
      <c r="A8" s="42">
        <v>46306</v>
      </c>
      <c r="B8" s="1">
        <v>7</v>
      </c>
      <c r="C8" s="1" t="s">
        <v>59</v>
      </c>
      <c r="D8" s="1" t="s">
        <v>12</v>
      </c>
      <c r="E8" s="1">
        <v>2</v>
      </c>
      <c r="F8" s="1">
        <v>6</v>
      </c>
      <c r="G8" s="1" t="s">
        <v>77</v>
      </c>
      <c r="H8" s="1" t="s">
        <v>77</v>
      </c>
      <c r="I8" s="1">
        <f t="shared" si="2"/>
        <v>2</v>
      </c>
      <c r="J8" s="1">
        <f t="shared" si="3"/>
        <v>5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5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13</v>
      </c>
      <c r="E9" s="1">
        <v>2</v>
      </c>
      <c r="F9" s="1">
        <v>3</v>
      </c>
      <c r="G9" s="1" t="s">
        <v>77</v>
      </c>
      <c r="H9" s="1" t="s">
        <v>77</v>
      </c>
      <c r="I9" s="1">
        <f t="shared" si="2"/>
        <v>2</v>
      </c>
      <c r="J9" s="1">
        <f t="shared" si="3"/>
        <v>6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2</v>
      </c>
      <c r="AE9" s="1">
        <f t="shared" si="22"/>
        <v>6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59</v>
      </c>
      <c r="D10" s="1" t="s">
        <v>19</v>
      </c>
      <c r="E10" s="1">
        <v>2</v>
      </c>
      <c r="F10" s="1">
        <v>3</v>
      </c>
      <c r="G10" s="1" t="s">
        <v>78</v>
      </c>
      <c r="H10" s="1" t="s">
        <v>77</v>
      </c>
      <c r="I10" s="1">
        <f t="shared" si="2"/>
        <v>2</v>
      </c>
      <c r="J10" s="1">
        <f t="shared" si="3"/>
        <v>6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1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OTL</v>
      </c>
      <c r="AD10" s="1">
        <f t="shared" si="21"/>
        <v>2</v>
      </c>
      <c r="AE10" s="1">
        <f t="shared" si="22"/>
        <v>6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59</v>
      </c>
      <c r="D11" s="1" t="s">
        <v>5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26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60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46320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3">
      <c r="A15" s="42">
        <v>46322</v>
      </c>
      <c r="B15" s="1">
        <v>14</v>
      </c>
      <c r="C15" s="1" t="s">
        <v>59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46324</v>
      </c>
      <c r="B16" s="1">
        <v>15</v>
      </c>
      <c r="C16" s="1" t="s">
        <v>59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46326</v>
      </c>
      <c r="B17" s="1">
        <v>16</v>
      </c>
      <c r="C17" s="1" t="s">
        <v>60</v>
      </c>
      <c r="D17" s="1" t="s">
        <v>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60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46333</v>
      </c>
      <c r="B20" s="1">
        <v>19</v>
      </c>
      <c r="C20" s="1" t="s">
        <v>59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46335</v>
      </c>
      <c r="B21" s="1">
        <v>20</v>
      </c>
      <c r="C21" s="1" t="s">
        <v>60</v>
      </c>
      <c r="D21" s="1" t="s">
        <v>10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59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46342</v>
      </c>
      <c r="B24" s="1">
        <v>23</v>
      </c>
      <c r="C24" s="1" t="s">
        <v>59</v>
      </c>
      <c r="D24" s="1" t="s">
        <v>89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59</v>
      </c>
      <c r="D25" s="1" t="s">
        <v>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60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46348</v>
      </c>
      <c r="B27" s="1">
        <v>26</v>
      </c>
      <c r="C27" s="1" t="s">
        <v>60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46351</v>
      </c>
      <c r="B28" s="1">
        <v>27</v>
      </c>
      <c r="C28" s="1" t="s">
        <v>59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46353</v>
      </c>
      <c r="B29" s="1">
        <v>28</v>
      </c>
      <c r="C29" s="1" t="s">
        <v>59</v>
      </c>
      <c r="D29" s="1" t="s">
        <v>10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3">
      <c r="A30" s="42">
        <v>46355</v>
      </c>
      <c r="B30" s="1">
        <v>29</v>
      </c>
      <c r="C30" s="1" t="s">
        <v>59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46357</v>
      </c>
      <c r="B31" s="1">
        <v>30</v>
      </c>
      <c r="C31" s="1" t="s">
        <v>59</v>
      </c>
      <c r="D31" s="1" t="s">
        <v>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46360</v>
      </c>
      <c r="B32" s="1">
        <v>31</v>
      </c>
      <c r="C32" s="1" t="s">
        <v>60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46361</v>
      </c>
      <c r="B33" s="1">
        <v>32</v>
      </c>
      <c r="C33" s="1" t="s">
        <v>60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46363</v>
      </c>
      <c r="B34" s="1">
        <v>33</v>
      </c>
      <c r="C34" s="1" t="s">
        <v>60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46370</v>
      </c>
      <c r="B37" s="1">
        <v>36</v>
      </c>
      <c r="C37" s="1" t="s">
        <v>59</v>
      </c>
      <c r="D37" s="1" t="s">
        <v>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46372</v>
      </c>
      <c r="B38" s="1">
        <v>37</v>
      </c>
      <c r="C38" s="1" t="s">
        <v>59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46375</v>
      </c>
      <c r="B39" s="1">
        <v>38</v>
      </c>
      <c r="C39" s="1" t="s">
        <v>60</v>
      </c>
      <c r="D39" s="1" t="s">
        <v>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46377</v>
      </c>
      <c r="B40" s="1">
        <v>39</v>
      </c>
      <c r="C40" s="1" t="s">
        <v>60</v>
      </c>
      <c r="D40" s="1" t="s">
        <v>89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27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46386</v>
      </c>
      <c r="B43" s="1">
        <v>42</v>
      </c>
      <c r="C43" s="1" t="s">
        <v>60</v>
      </c>
      <c r="D43" s="1" t="s">
        <v>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59</v>
      </c>
      <c r="D44" s="1" t="s">
        <v>89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46390</v>
      </c>
      <c r="B45" s="1">
        <v>44</v>
      </c>
      <c r="C45" s="1" t="s">
        <v>59</v>
      </c>
      <c r="D45" s="1" t="s">
        <v>7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46392</v>
      </c>
      <c r="B46" s="1">
        <v>45</v>
      </c>
      <c r="C46" s="1" t="s">
        <v>60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46394</v>
      </c>
      <c r="B47" s="1">
        <v>46</v>
      </c>
      <c r="C47" s="1" t="s">
        <v>60</v>
      </c>
      <c r="D47" s="1" t="s">
        <v>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46396</v>
      </c>
      <c r="B48" s="1">
        <v>47</v>
      </c>
      <c r="C48" s="1" t="s">
        <v>60</v>
      </c>
      <c r="D48" s="1" t="s">
        <v>19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60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60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46405</v>
      </c>
      <c r="B51" s="1">
        <v>50</v>
      </c>
      <c r="C51" s="1" t="s">
        <v>59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59</v>
      </c>
      <c r="D52" s="1" t="s">
        <v>15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59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46410</v>
      </c>
      <c r="B54" s="1">
        <v>53</v>
      </c>
      <c r="C54" s="1" t="s">
        <v>59</v>
      </c>
      <c r="D54" s="1" t="s">
        <v>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59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59</v>
      </c>
      <c r="D57" s="1" t="s">
        <v>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60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60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46434</v>
      </c>
      <c r="B61" s="1">
        <v>60</v>
      </c>
      <c r="C61" s="1" t="s">
        <v>60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60</v>
      </c>
      <c r="D63" s="1" t="s">
        <v>24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46439</v>
      </c>
      <c r="B64" s="1">
        <v>63</v>
      </c>
      <c r="C64" s="1" t="s">
        <v>60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46441</v>
      </c>
      <c r="B65" s="1">
        <v>64</v>
      </c>
      <c r="C65" s="1" t="s">
        <v>59</v>
      </c>
      <c r="D65" s="1" t="s">
        <v>22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46443</v>
      </c>
      <c r="B66" s="1">
        <v>65</v>
      </c>
      <c r="C66" s="1" t="s">
        <v>59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46445</v>
      </c>
      <c r="B67" s="1">
        <v>66</v>
      </c>
      <c r="C67" s="1" t="s">
        <v>60</v>
      </c>
      <c r="D67" s="1" t="s">
        <v>27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46449</v>
      </c>
      <c r="B68" s="1">
        <v>67</v>
      </c>
      <c r="C68" s="1" t="s">
        <v>60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46452</v>
      </c>
      <c r="B69" s="1">
        <v>68</v>
      </c>
      <c r="C69" s="1" t="s">
        <v>59</v>
      </c>
      <c r="D69" s="1" t="s">
        <v>16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46455</v>
      </c>
      <c r="B70" s="1">
        <v>69</v>
      </c>
      <c r="C70" s="1" t="s">
        <v>59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46457</v>
      </c>
      <c r="B71" s="1">
        <v>70</v>
      </c>
      <c r="C71" s="1" t="s">
        <v>59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46459</v>
      </c>
      <c r="B72" s="1">
        <v>71</v>
      </c>
      <c r="C72" s="1" t="s">
        <v>59</v>
      </c>
      <c r="D72" s="1" t="s">
        <v>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46460</v>
      </c>
      <c r="B73" s="1">
        <v>72</v>
      </c>
      <c r="C73" s="1" t="s">
        <v>59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46463</v>
      </c>
      <c r="B74" s="1">
        <v>73</v>
      </c>
      <c r="C74" s="1" t="s">
        <v>60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46466</v>
      </c>
      <c r="B75" s="1">
        <v>74</v>
      </c>
      <c r="C75" s="1" t="s">
        <v>60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46467</v>
      </c>
      <c r="B76" s="1">
        <v>75</v>
      </c>
      <c r="C76" s="1" t="s">
        <v>60</v>
      </c>
      <c r="D76" s="1" t="s">
        <v>20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60</v>
      </c>
      <c r="D77" s="1" t="s">
        <v>18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60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60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46475</v>
      </c>
      <c r="B80" s="1">
        <v>79</v>
      </c>
      <c r="C80" s="1" t="s">
        <v>59</v>
      </c>
      <c r="D80" s="1" t="s">
        <v>18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46477</v>
      </c>
      <c r="B81" s="1">
        <v>80</v>
      </c>
      <c r="C81" s="1" t="s">
        <v>59</v>
      </c>
      <c r="D81" s="1" t="s">
        <v>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60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24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46486</v>
      </c>
      <c r="B84" s="1">
        <v>83</v>
      </c>
      <c r="C84" s="1" t="s">
        <v>59</v>
      </c>
      <c r="D84" s="1" t="s">
        <v>0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59</v>
      </c>
      <c r="D85" s="1" t="s">
        <v>27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2</v>
      </c>
      <c r="J86" s="1">
        <f t="shared" si="99"/>
        <v>6</v>
      </c>
      <c r="K86" s="1">
        <f t="shared" si="99"/>
        <v>1</v>
      </c>
      <c r="L86" s="1">
        <f t="shared" si="99"/>
        <v>1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1</v>
      </c>
      <c r="P86" s="1">
        <f t="shared" si="100"/>
        <v>2</v>
      </c>
      <c r="Q86" s="1">
        <f t="shared" si="100"/>
        <v>0</v>
      </c>
      <c r="R86" s="1">
        <f t="shared" si="100"/>
        <v>1</v>
      </c>
      <c r="S86" s="1">
        <f t="shared" si="100"/>
        <v>4</v>
      </c>
      <c r="T86" s="1">
        <f t="shared" si="100"/>
        <v>1</v>
      </c>
      <c r="U86" s="1">
        <f t="shared" si="100"/>
        <v>2</v>
      </c>
      <c r="V86" s="1">
        <f t="shared" si="100"/>
        <v>2</v>
      </c>
      <c r="W86" s="1">
        <f t="shared" si="100"/>
        <v>0</v>
      </c>
      <c r="X86" s="1">
        <f t="shared" si="100"/>
        <v>2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6</v>
      </c>
      <c r="AD86" s="1" cm="1">
        <f t="array" ref="AD86">IF(LOOKUP(2,1 / (AD1:AD85 &lt;&gt; ""),AD1:AD85)="L10 W","",LOOKUP(2,1 / (AD1:AD85 &lt;&gt; ""),AD1:AD85))</f>
        <v>2</v>
      </c>
      <c r="AE86" s="1" cm="1">
        <f t="array" ref="AE86">IF(LOOKUP(2,1 / (AE1:AE85 &lt;&gt; ""),AE1:AE85)="L10 L","",LOOKUP(2,1 / (AE1:AE85 &lt;&gt; ""),AE1:AE85))</f>
        <v>6</v>
      </c>
      <c r="AF86" s="1" cm="1">
        <f t="array" ref="AF86">IF(LOOKUP(2,1 / (AF1:AF85 &lt;&gt; ""),AF1:AF85)="L10 L","",LOOKUP(2,1 / (AF1:AF85 &lt;&gt; ""),AF1:AF85))</f>
        <v>1</v>
      </c>
    </row>
    <row r="87" spans="1:33" x14ac:dyDescent="0.3">
      <c r="C87" s="1">
        <f>COUNTIF(C1:C85,"Away")</f>
        <v>42</v>
      </c>
      <c r="E87" s="1">
        <f>SUM(E2:E85)</f>
        <v>28</v>
      </c>
      <c r="F87" s="1">
        <f>SUM(F2:F85)</f>
        <v>41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1-2-0</v>
      </c>
      <c r="R87" s="1" t="str">
        <f>IF(R86="","0-0-0",CONCATENATE(R86,"-",S86,"-",T86))</f>
        <v>1-4-1</v>
      </c>
      <c r="U87" s="1" t="str">
        <f>IF(U86="","0-0-0",CONCATENATE(U86,"-",V86,"-",W86))</f>
        <v>2-2-0</v>
      </c>
      <c r="X87" s="1" t="str">
        <f>IF(X86="","0-0-0",CONCATENATE(X86,"-",Y86,"-",Z86))</f>
        <v>2-2-0</v>
      </c>
      <c r="AA87" s="1" t="str">
        <f>IF(AA86="","0-0",CONCATENATE(AA86,AB86))</f>
        <v>L6</v>
      </c>
      <c r="AD87" s="1" t="str">
        <f>IF(AD86="","0-0-0",CONCATENATE(AD86,"-",AE86,"-",AF86))</f>
        <v>2-6-1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700-000002000000}">
      <formula1>$AK$1:$AK$2</formula1>
    </dataValidation>
    <dataValidation type="list" allowBlank="1" showInputMessage="1" showErrorMessage="1" sqref="C2:C85" xr:uid="{00000000-0002-0000-D700-000000000000}">
      <formula1>$AL$1:$AL$2</formula1>
    </dataValidation>
    <dataValidation type="list" allowBlank="1" showInputMessage="1" showErrorMessage="1" sqref="D2:D85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31</v>
      </c>
    </row>
    <row r="2" spans="1:41" x14ac:dyDescent="0.3">
      <c r="A2" s="42">
        <v>46294</v>
      </c>
      <c r="B2" s="1">
        <v>1</v>
      </c>
      <c r="C2" s="1" t="s">
        <v>60</v>
      </c>
      <c r="D2" s="1" t="s">
        <v>25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27</v>
      </c>
    </row>
    <row r="3" spans="1:41" x14ac:dyDescent="0.3">
      <c r="A3" s="42">
        <v>46297</v>
      </c>
      <c r="B3" s="1">
        <v>2</v>
      </c>
      <c r="C3" s="1" t="s">
        <v>60</v>
      </c>
      <c r="D3" s="1" t="s">
        <v>31</v>
      </c>
      <c r="E3" s="1">
        <v>3</v>
      </c>
      <c r="F3" s="1">
        <v>4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25</v>
      </c>
      <c r="AO3" s="1" t="s">
        <v>20</v>
      </c>
    </row>
    <row r="4" spans="1:41" x14ac:dyDescent="0.3">
      <c r="A4" s="42">
        <v>46299</v>
      </c>
      <c r="B4" s="1">
        <v>3</v>
      </c>
      <c r="C4" s="1" t="s">
        <v>59</v>
      </c>
      <c r="D4" s="1" t="s">
        <v>3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3">
      <c r="A5" s="42">
        <v>46301</v>
      </c>
      <c r="B5" s="1">
        <v>4</v>
      </c>
      <c r="C5" s="1" t="s">
        <v>59</v>
      </c>
      <c r="D5" s="1" t="s">
        <v>7</v>
      </c>
      <c r="E5" s="1">
        <v>6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3">
      <c r="A6" s="42">
        <v>46303</v>
      </c>
      <c r="B6" s="1">
        <v>5</v>
      </c>
      <c r="C6" s="1" t="s">
        <v>60</v>
      </c>
      <c r="D6" s="1" t="s">
        <v>4</v>
      </c>
      <c r="E6" s="1">
        <v>4</v>
      </c>
      <c r="F6" s="1">
        <v>3</v>
      </c>
      <c r="G6" s="1" t="s">
        <v>78</v>
      </c>
      <c r="H6" s="1" t="s">
        <v>78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3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3">
      <c r="A7" s="42">
        <v>46305</v>
      </c>
      <c r="B7" s="1">
        <v>6</v>
      </c>
      <c r="C7" s="1" t="s">
        <v>60</v>
      </c>
      <c r="D7" s="1" t="s">
        <v>18</v>
      </c>
      <c r="E7" s="1">
        <v>2</v>
      </c>
      <c r="F7" s="1">
        <v>1</v>
      </c>
      <c r="G7" s="1" t="s">
        <v>78</v>
      </c>
      <c r="H7" s="1" t="s">
        <v>77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4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3</v>
      </c>
    </row>
    <row r="8" spans="1:41" x14ac:dyDescent="0.3">
      <c r="A8" s="42">
        <v>46307</v>
      </c>
      <c r="B8" s="1">
        <v>7</v>
      </c>
      <c r="C8" s="1" t="s">
        <v>59</v>
      </c>
      <c r="D8" s="1" t="s">
        <v>17</v>
      </c>
      <c r="E8" s="1">
        <v>2</v>
      </c>
      <c r="F8" s="1">
        <v>4</v>
      </c>
      <c r="G8" s="1" t="s">
        <v>77</v>
      </c>
      <c r="H8" s="1" t="s">
        <v>77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3">
      <c r="A9" s="42">
        <v>46308</v>
      </c>
      <c r="B9" s="1">
        <v>8</v>
      </c>
      <c r="C9" s="1" t="s">
        <v>59</v>
      </c>
      <c r="D9" s="1" t="s">
        <v>15</v>
      </c>
      <c r="E9" s="1">
        <v>5</v>
      </c>
      <c r="F9" s="1">
        <v>2</v>
      </c>
      <c r="G9" s="1" t="s">
        <v>77</v>
      </c>
      <c r="H9" s="1" t="s">
        <v>77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3">
      <c r="A10" s="42">
        <v>46310</v>
      </c>
      <c r="B10" s="1">
        <v>9</v>
      </c>
      <c r="C10" s="1" t="s">
        <v>60</v>
      </c>
      <c r="D10" s="1" t="s">
        <v>27</v>
      </c>
      <c r="E10" s="1">
        <v>6</v>
      </c>
      <c r="F10" s="1">
        <v>2</v>
      </c>
      <c r="G10" s="1" t="s">
        <v>77</v>
      </c>
      <c r="H10" s="1" t="s">
        <v>77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4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3">
      <c r="A11" s="42">
        <v>46312</v>
      </c>
      <c r="B11" s="1">
        <v>10</v>
      </c>
      <c r="C11" s="1" t="s">
        <v>60</v>
      </c>
      <c r="D11" s="1" t="s">
        <v>9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46315</v>
      </c>
      <c r="B12" s="1">
        <v>11</v>
      </c>
      <c r="C12" s="1" t="s">
        <v>60</v>
      </c>
      <c r="D12" s="1" t="s">
        <v>5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46317</v>
      </c>
      <c r="B13" s="1">
        <v>12</v>
      </c>
      <c r="C13" s="1" t="s">
        <v>59</v>
      </c>
      <c r="D13" s="1" t="s">
        <v>6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46319</v>
      </c>
      <c r="B14" s="1">
        <v>13</v>
      </c>
      <c r="C14" s="1" t="s">
        <v>59</v>
      </c>
      <c r="D14" s="1" t="s">
        <v>23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46322</v>
      </c>
      <c r="B15" s="1">
        <v>14</v>
      </c>
      <c r="C15" s="1" t="s">
        <v>60</v>
      </c>
      <c r="D15" s="1" t="s">
        <v>11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3">
      <c r="A16" s="42">
        <v>46325</v>
      </c>
      <c r="B16" s="1">
        <v>15</v>
      </c>
      <c r="C16" s="1" t="s">
        <v>60</v>
      </c>
      <c r="D16" s="1" t="s">
        <v>14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46328</v>
      </c>
      <c r="B17" s="1">
        <v>16</v>
      </c>
      <c r="C17" s="1" t="s">
        <v>59</v>
      </c>
      <c r="D17" s="1" t="s">
        <v>29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46329</v>
      </c>
      <c r="B18" s="1">
        <v>17</v>
      </c>
      <c r="C18" s="1" t="s">
        <v>59</v>
      </c>
      <c r="D18" s="1" t="s">
        <v>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46331</v>
      </c>
      <c r="B19" s="1">
        <v>18</v>
      </c>
      <c r="C19" s="1" t="s">
        <v>59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46334</v>
      </c>
      <c r="B20" s="1">
        <v>19</v>
      </c>
      <c r="C20" s="1" t="s">
        <v>59</v>
      </c>
      <c r="D20" s="1" t="s">
        <v>28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46337</v>
      </c>
      <c r="B21" s="1">
        <v>20</v>
      </c>
      <c r="C21" s="1" t="s">
        <v>60</v>
      </c>
      <c r="D21" s="1" t="s">
        <v>89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46339</v>
      </c>
      <c r="B22" s="1">
        <v>21</v>
      </c>
      <c r="C22" s="1" t="s">
        <v>60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46341</v>
      </c>
      <c r="B23" s="1">
        <v>22</v>
      </c>
      <c r="C23" s="1" t="s">
        <v>60</v>
      </c>
      <c r="D23" s="1" t="s">
        <v>3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46343</v>
      </c>
      <c r="B24" s="1">
        <v>23</v>
      </c>
      <c r="C24" s="1" t="s">
        <v>60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46345</v>
      </c>
      <c r="B25" s="1">
        <v>24</v>
      </c>
      <c r="C25" s="1" t="s">
        <v>60</v>
      </c>
      <c r="D25" s="1" t="s">
        <v>22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46347</v>
      </c>
      <c r="B26" s="1">
        <v>25</v>
      </c>
      <c r="C26" s="1" t="s">
        <v>59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46350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60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46357</v>
      </c>
      <c r="B30" s="1">
        <v>29</v>
      </c>
      <c r="C30" s="1" t="s">
        <v>59</v>
      </c>
      <c r="D30" s="1" t="s">
        <v>18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3">
      <c r="A31" s="42">
        <v>46359</v>
      </c>
      <c r="B31" s="1">
        <v>30</v>
      </c>
      <c r="C31" s="1" t="s">
        <v>60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46361</v>
      </c>
      <c r="B32" s="1">
        <v>31</v>
      </c>
      <c r="C32" s="1" t="s">
        <v>60</v>
      </c>
      <c r="D32" s="1" t="s">
        <v>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46364</v>
      </c>
      <c r="B33" s="1">
        <v>32</v>
      </c>
      <c r="C33" s="1" t="s">
        <v>59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46366</v>
      </c>
      <c r="B34" s="1">
        <v>33</v>
      </c>
      <c r="C34" s="1" t="s">
        <v>59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46368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46372</v>
      </c>
      <c r="B36" s="1">
        <v>35</v>
      </c>
      <c r="C36" s="1" t="s">
        <v>60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46374</v>
      </c>
      <c r="B37" s="1">
        <v>36</v>
      </c>
      <c r="C37" s="1" t="s">
        <v>60</v>
      </c>
      <c r="D37" s="1" t="s">
        <v>13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46377</v>
      </c>
      <c r="B38" s="1">
        <v>37</v>
      </c>
      <c r="C38" s="1" t="s">
        <v>60</v>
      </c>
      <c r="D38" s="1" t="s">
        <v>26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46378</v>
      </c>
      <c r="B39" s="1">
        <v>38</v>
      </c>
      <c r="C39" s="1" t="s">
        <v>59</v>
      </c>
      <c r="D39" s="1" t="s">
        <v>31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46382</v>
      </c>
      <c r="B40" s="1">
        <v>39</v>
      </c>
      <c r="C40" s="1" t="s">
        <v>59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46384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46385</v>
      </c>
      <c r="B42" s="1">
        <v>41</v>
      </c>
      <c r="C42" s="1" t="s">
        <v>59</v>
      </c>
      <c r="D42" s="1" t="s">
        <v>25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60</v>
      </c>
      <c r="D43" s="1" t="s">
        <v>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46389</v>
      </c>
      <c r="B44" s="1">
        <v>43</v>
      </c>
      <c r="C44" s="1" t="s">
        <v>60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46391</v>
      </c>
      <c r="B45" s="1">
        <v>44</v>
      </c>
      <c r="C45" s="1" t="s">
        <v>59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46394</v>
      </c>
      <c r="B46" s="1">
        <v>45</v>
      </c>
      <c r="C46" s="1" t="s">
        <v>60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46396</v>
      </c>
      <c r="B47" s="1">
        <v>46</v>
      </c>
      <c r="C47" s="1" t="s">
        <v>60</v>
      </c>
      <c r="D47" s="1" t="s">
        <v>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46399</v>
      </c>
      <c r="B48" s="1">
        <v>47</v>
      </c>
      <c r="C48" s="1" t="s">
        <v>59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46401</v>
      </c>
      <c r="B49" s="1">
        <v>48</v>
      </c>
      <c r="C49" s="1" t="s">
        <v>59</v>
      </c>
      <c r="D49" s="1" t="s">
        <v>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46403</v>
      </c>
      <c r="B50" s="1">
        <v>49</v>
      </c>
      <c r="C50" s="1" t="s">
        <v>59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46404</v>
      </c>
      <c r="B51" s="1">
        <v>50</v>
      </c>
      <c r="C51" s="1" t="s">
        <v>59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46407</v>
      </c>
      <c r="B52" s="1">
        <v>51</v>
      </c>
      <c r="C52" s="1" t="s">
        <v>60</v>
      </c>
      <c r="D52" s="1" t="s">
        <v>20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46409</v>
      </c>
      <c r="B53" s="1">
        <v>52</v>
      </c>
      <c r="C53" s="1" t="s">
        <v>60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46411</v>
      </c>
      <c r="B54" s="1">
        <v>53</v>
      </c>
      <c r="C54" s="1" t="s">
        <v>59</v>
      </c>
      <c r="D54" s="1" t="s">
        <v>25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46413</v>
      </c>
      <c r="B55" s="1">
        <v>54</v>
      </c>
      <c r="C55" s="1" t="s">
        <v>59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46415</v>
      </c>
      <c r="B56" s="1">
        <v>55</v>
      </c>
      <c r="C56" s="1" t="s">
        <v>60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46417</v>
      </c>
      <c r="B57" s="1">
        <v>56</v>
      </c>
      <c r="C57" s="1" t="s">
        <v>60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46419</v>
      </c>
      <c r="B58" s="1">
        <v>57</v>
      </c>
      <c r="C58" s="1" t="s">
        <v>59</v>
      </c>
      <c r="D58" s="1" t="s">
        <v>27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46421</v>
      </c>
      <c r="B59" s="1">
        <v>58</v>
      </c>
      <c r="C59" s="1" t="s">
        <v>59</v>
      </c>
      <c r="D59" s="1" t="s">
        <v>20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46431</v>
      </c>
      <c r="B60" s="1">
        <v>59</v>
      </c>
      <c r="C60" s="1" t="s">
        <v>60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46433</v>
      </c>
      <c r="B61" s="1">
        <v>60</v>
      </c>
      <c r="C61" s="1" t="s">
        <v>60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46436</v>
      </c>
      <c r="B62" s="1">
        <v>61</v>
      </c>
      <c r="C62" s="1" t="s">
        <v>60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46438</v>
      </c>
      <c r="B63" s="1">
        <v>62</v>
      </c>
      <c r="C63" s="1" t="s">
        <v>59</v>
      </c>
      <c r="D63" s="1" t="s">
        <v>22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46440</v>
      </c>
      <c r="B64" s="1">
        <v>63</v>
      </c>
      <c r="C64" s="1" t="s">
        <v>59</v>
      </c>
      <c r="D64" s="1" t="s">
        <v>24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46442</v>
      </c>
      <c r="B65" s="1">
        <v>64</v>
      </c>
      <c r="C65" s="1" t="s">
        <v>60</v>
      </c>
      <c r="D65" s="1" t="s">
        <v>19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46444</v>
      </c>
      <c r="B66" s="1">
        <v>65</v>
      </c>
      <c r="C66" s="1" t="s">
        <v>60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46448</v>
      </c>
      <c r="B67" s="1">
        <v>66</v>
      </c>
      <c r="C67" s="1" t="s">
        <v>59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46450</v>
      </c>
      <c r="B68" s="1">
        <v>67</v>
      </c>
      <c r="C68" s="1" t="s">
        <v>59</v>
      </c>
      <c r="D68" s="1" t="s">
        <v>13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46451</v>
      </c>
      <c r="B69" s="1">
        <v>68</v>
      </c>
      <c r="C69" s="1" t="s">
        <v>59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46453</v>
      </c>
      <c r="B70" s="1">
        <v>69</v>
      </c>
      <c r="C70" s="1" t="s">
        <v>59</v>
      </c>
      <c r="D70" s="1" t="s">
        <v>12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46455</v>
      </c>
      <c r="B71" s="1">
        <v>70</v>
      </c>
      <c r="C71" s="1" t="s">
        <v>60</v>
      </c>
      <c r="D71" s="1" t="s">
        <v>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46457</v>
      </c>
      <c r="B72" s="1">
        <v>71</v>
      </c>
      <c r="C72" s="1" t="s">
        <v>60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46459</v>
      </c>
      <c r="B73" s="1">
        <v>72</v>
      </c>
      <c r="C73" s="1" t="s">
        <v>60</v>
      </c>
      <c r="D73" s="1" t="s">
        <v>12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46461</v>
      </c>
      <c r="B74" s="1">
        <v>73</v>
      </c>
      <c r="C74" s="1" t="s">
        <v>60</v>
      </c>
      <c r="D74" s="1" t="s">
        <v>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46463</v>
      </c>
      <c r="B75" s="1">
        <v>74</v>
      </c>
      <c r="C75" s="1" t="s">
        <v>60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46466</v>
      </c>
      <c r="B76" s="1">
        <v>75</v>
      </c>
      <c r="C76" s="1" t="s">
        <v>59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46469</v>
      </c>
      <c r="B77" s="1">
        <v>76</v>
      </c>
      <c r="C77" s="1" t="s">
        <v>59</v>
      </c>
      <c r="D77" s="1" t="s">
        <v>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46471</v>
      </c>
      <c r="B78" s="1">
        <v>77</v>
      </c>
      <c r="C78" s="1" t="s">
        <v>59</v>
      </c>
      <c r="D78" s="1" t="s">
        <v>3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46473</v>
      </c>
      <c r="B79" s="1">
        <v>78</v>
      </c>
      <c r="C79" s="1" t="s">
        <v>59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46477</v>
      </c>
      <c r="B80" s="1">
        <v>79</v>
      </c>
      <c r="C80" s="1" t="s">
        <v>60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46479</v>
      </c>
      <c r="B81" s="1">
        <v>80</v>
      </c>
      <c r="C81" s="1" t="s">
        <v>60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46480</v>
      </c>
      <c r="B82" s="1">
        <v>81</v>
      </c>
      <c r="C82" s="1" t="s">
        <v>59</v>
      </c>
      <c r="D82" s="1" t="s">
        <v>89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46483</v>
      </c>
      <c r="B83" s="1">
        <v>82</v>
      </c>
      <c r="C83" s="1" t="s">
        <v>60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46485</v>
      </c>
      <c r="B84" s="1">
        <v>83</v>
      </c>
      <c r="C84" s="1" t="s">
        <v>59</v>
      </c>
      <c r="D84" s="1" t="s">
        <v>18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46487</v>
      </c>
      <c r="B85" s="1">
        <v>84</v>
      </c>
      <c r="C85" s="1" t="s">
        <v>60</v>
      </c>
      <c r="D85" s="1" t="s">
        <v>18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7</v>
      </c>
      <c r="J86" s="1">
        <f t="shared" si="99"/>
        <v>2</v>
      </c>
      <c r="K86" s="1">
        <f t="shared" si="99"/>
        <v>2</v>
      </c>
      <c r="L86" s="1">
        <f t="shared" si="99"/>
        <v>0</v>
      </c>
      <c r="M86" s="1">
        <f t="shared" si="99"/>
        <v>1</v>
      </c>
      <c r="N86" s="1">
        <f t="shared" si="99"/>
        <v>0</v>
      </c>
      <c r="O86" s="1">
        <f t="shared" ref="O86:Z86" si="100">IF(O2="","",MAX(O2:O85))</f>
        <v>4</v>
      </c>
      <c r="P86" s="1">
        <f t="shared" si="100"/>
        <v>1</v>
      </c>
      <c r="Q86" s="1">
        <f t="shared" si="100"/>
        <v>0</v>
      </c>
      <c r="R86" s="1">
        <f t="shared" si="100"/>
        <v>3</v>
      </c>
      <c r="S86" s="1">
        <f t="shared" si="100"/>
        <v>1</v>
      </c>
      <c r="T86" s="1">
        <f t="shared" si="100"/>
        <v>0</v>
      </c>
      <c r="U86" s="1">
        <f t="shared" si="100"/>
        <v>4</v>
      </c>
      <c r="V86" s="1">
        <f t="shared" si="100"/>
        <v>1</v>
      </c>
      <c r="W86" s="1">
        <f t="shared" si="100"/>
        <v>0</v>
      </c>
      <c r="X86" s="1">
        <f t="shared" si="100"/>
        <v>6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2</v>
      </c>
      <c r="AD86" s="1" cm="1">
        <f t="array" ref="AD86">IF(LOOKUP(2,1 / (AD1:AD85 &lt;&gt; ""),AD1:AD85)="L10 W","",LOOKUP(2,1 / (AD1:AD85 &lt;&gt; ""),AD1:AD85))</f>
        <v>7</v>
      </c>
      <c r="AE86" s="1" cm="1">
        <f t="array" ref="AE86">IF(LOOKUP(2,1 / (AE1:AE85 &lt;&gt; ""),AE1:AE85)="L10 L","",LOOKUP(2,1 / (AE1:AE85 &lt;&gt; ""),AE1:AE85))</f>
        <v>2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36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4-1-0</v>
      </c>
      <c r="R87" s="1" t="str">
        <f>IF(R86="","0-0-0",CONCATENATE(R86,"-",S86,"-",T86))</f>
        <v>3-1-0</v>
      </c>
      <c r="U87" s="1" t="str">
        <f>IF(U86="","0-0-0",CONCATENATE(U86,"-",V86,"-",W86))</f>
        <v>4-1-0</v>
      </c>
      <c r="X87" s="1" t="str">
        <f>IF(X86="","0-0-0",CONCATENATE(X86,"-",Y86,"-",Z86))</f>
        <v>6-2-0</v>
      </c>
      <c r="AA87" s="1" t="str">
        <f>IF(AA86="","0-0",CONCATENATE(AA86,AB86))</f>
        <v>W2</v>
      </c>
      <c r="AD87" s="1" t="str">
        <f>IF(AD86="","0-0-0",CONCATENATE(AD86,"-",AE86,"-",AF86))</f>
        <v>7-2-0</v>
      </c>
    </row>
    <row r="88" spans="1:33" x14ac:dyDescent="0.3">
      <c r="C88" s="1">
        <f>SUM(C86:C87)</f>
        <v>84</v>
      </c>
      <c r="D88" s="1">
        <f>COUNTA(E2:E85)</f>
        <v>9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800-000002000000}">
      <formula1>$AK$1:$AK$2</formula1>
    </dataValidation>
    <dataValidation type="list" allowBlank="1" showInputMessage="1" showErrorMessage="1" sqref="C2:C85" xr:uid="{00000000-0002-0000-D800-000001000000}">
      <formula1>$AL$1:$AL$2</formula1>
    </dataValidation>
    <dataValidation type="list" allowBlank="1" showInputMessage="1" showErrorMessage="1" sqref="D2:D85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29</v>
      </c>
      <c r="AO1" s="1" t="s">
        <v>26</v>
      </c>
    </row>
    <row r="2" spans="1:41" x14ac:dyDescent="0.3">
      <c r="A2" s="42">
        <v>46297</v>
      </c>
      <c r="B2" s="1">
        <v>1</v>
      </c>
      <c r="C2" s="1" t="s">
        <v>59</v>
      </c>
      <c r="D2" s="1" t="s">
        <v>26</v>
      </c>
      <c r="E2" s="1">
        <v>5</v>
      </c>
      <c r="F2" s="1">
        <v>2</v>
      </c>
      <c r="G2" s="1" t="s">
        <v>77</v>
      </c>
      <c r="H2" s="1" t="s">
        <v>77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28</v>
      </c>
      <c r="AO2" s="1" t="s">
        <v>23</v>
      </c>
    </row>
    <row r="3" spans="1:41" x14ac:dyDescent="0.3">
      <c r="A3" s="42">
        <v>46298</v>
      </c>
      <c r="B3" s="1">
        <v>2</v>
      </c>
      <c r="C3" s="1" t="s">
        <v>59</v>
      </c>
      <c r="D3" s="1" t="s">
        <v>5</v>
      </c>
      <c r="E3" s="1">
        <v>1</v>
      </c>
      <c r="F3" s="1">
        <v>3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62</v>
      </c>
      <c r="AM3" s="1" t="s">
        <v>28</v>
      </c>
      <c r="AN3" s="1" t="s">
        <v>26</v>
      </c>
      <c r="AO3" s="1" t="s">
        <v>14</v>
      </c>
    </row>
    <row r="4" spans="1:41" x14ac:dyDescent="0.3">
      <c r="A4" s="42">
        <v>46302</v>
      </c>
      <c r="B4" s="1">
        <v>3</v>
      </c>
      <c r="C4" s="1" t="s">
        <v>60</v>
      </c>
      <c r="D4" s="1" t="s">
        <v>9</v>
      </c>
      <c r="E4" s="1">
        <v>5</v>
      </c>
      <c r="F4" s="1">
        <v>3</v>
      </c>
      <c r="G4" s="1" t="s">
        <v>77</v>
      </c>
      <c r="H4" s="1" t="s">
        <v>77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3">
      <c r="A5" s="42">
        <v>46304</v>
      </c>
      <c r="B5" s="1">
        <v>4</v>
      </c>
      <c r="C5" s="1" t="s">
        <v>60</v>
      </c>
      <c r="D5" s="1" t="s">
        <v>12</v>
      </c>
      <c r="E5" s="1">
        <v>3</v>
      </c>
      <c r="F5" s="1">
        <v>1</v>
      </c>
      <c r="G5" s="1" t="s">
        <v>77</v>
      </c>
      <c r="H5" s="1" t="s">
        <v>77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2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3">
      <c r="A6" s="42">
        <v>46306</v>
      </c>
      <c r="B6" s="1">
        <v>5</v>
      </c>
      <c r="C6" s="1" t="s">
        <v>60</v>
      </c>
      <c r="D6" s="1" t="s">
        <v>7</v>
      </c>
      <c r="E6" s="1">
        <v>3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3">
      <c r="A7" s="42">
        <v>46308</v>
      </c>
      <c r="B7" s="1">
        <v>6</v>
      </c>
      <c r="C7" s="1" t="s">
        <v>59</v>
      </c>
      <c r="D7" s="1" t="s">
        <v>26</v>
      </c>
      <c r="E7" s="1">
        <v>2</v>
      </c>
      <c r="F7" s="1">
        <v>4</v>
      </c>
      <c r="G7" s="1" t="s">
        <v>77</v>
      </c>
      <c r="H7" s="1" t="s">
        <v>77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2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3">
      <c r="A8" s="42">
        <v>46309</v>
      </c>
      <c r="B8" s="1">
        <v>7</v>
      </c>
      <c r="C8" s="1" t="s">
        <v>60</v>
      </c>
      <c r="D8" s="1" t="s">
        <v>16</v>
      </c>
      <c r="E8" s="1">
        <v>5</v>
      </c>
      <c r="F8" s="1">
        <v>4</v>
      </c>
      <c r="G8" s="1" t="s">
        <v>77</v>
      </c>
      <c r="H8" s="1" t="s">
        <v>77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14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13</v>
      </c>
    </row>
    <row r="10" spans="1:41" x14ac:dyDescent="0.3">
      <c r="A10" s="42">
        <v>46315</v>
      </c>
      <c r="B10" s="1">
        <v>9</v>
      </c>
      <c r="C10" s="1" t="s">
        <v>60</v>
      </c>
      <c r="D10" s="1" t="s">
        <v>18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12</v>
      </c>
    </row>
    <row r="11" spans="1:41" x14ac:dyDescent="0.3">
      <c r="A11" s="42">
        <v>46319</v>
      </c>
      <c r="B11" s="1">
        <v>10</v>
      </c>
      <c r="C11" s="1" t="s">
        <v>60</v>
      </c>
      <c r="D11" s="1" t="s">
        <v>28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11</v>
      </c>
    </row>
    <row r="12" spans="1:41" x14ac:dyDescent="0.3">
      <c r="A12" s="42">
        <v>46323</v>
      </c>
      <c r="B12" s="1">
        <v>11</v>
      </c>
      <c r="C12" s="1" t="s">
        <v>60</v>
      </c>
      <c r="D12" s="1" t="s">
        <v>10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10</v>
      </c>
    </row>
    <row r="13" spans="1:41" x14ac:dyDescent="0.3">
      <c r="A13" s="42">
        <v>46324</v>
      </c>
      <c r="B13" s="1">
        <v>12</v>
      </c>
      <c r="C13" s="1" t="s">
        <v>59</v>
      </c>
      <c r="D13" s="1" t="s">
        <v>15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</v>
      </c>
    </row>
    <row r="14" spans="1:41" x14ac:dyDescent="0.3">
      <c r="A14" s="42">
        <v>46327</v>
      </c>
      <c r="B14" s="1">
        <v>13</v>
      </c>
      <c r="C14" s="1" t="s">
        <v>60</v>
      </c>
      <c r="D14" s="1" t="s">
        <v>17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3">
      <c r="A15" s="42">
        <v>46329</v>
      </c>
      <c r="B15" s="1">
        <v>14</v>
      </c>
      <c r="C15" s="1" t="s">
        <v>60</v>
      </c>
      <c r="D15" s="1" t="s">
        <v>22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3">
      <c r="A16" s="42">
        <v>46333</v>
      </c>
      <c r="B16" s="1">
        <v>15</v>
      </c>
      <c r="C16" s="1" t="s">
        <v>60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46336</v>
      </c>
      <c r="B17" s="1">
        <v>16</v>
      </c>
      <c r="C17" s="1" t="s">
        <v>59</v>
      </c>
      <c r="D17" s="1" t="s">
        <v>11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46338</v>
      </c>
      <c r="B18" s="1">
        <v>17</v>
      </c>
      <c r="C18" s="1" t="s">
        <v>59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46340</v>
      </c>
      <c r="B19" s="1">
        <v>18</v>
      </c>
      <c r="C19" s="1" t="s">
        <v>60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46343</v>
      </c>
      <c r="B20" s="1">
        <v>19</v>
      </c>
      <c r="C20" s="1" t="s">
        <v>59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46345</v>
      </c>
      <c r="B21" s="1">
        <v>20</v>
      </c>
      <c r="C21" s="1" t="s">
        <v>60</v>
      </c>
      <c r="D21" s="1" t="s">
        <v>28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46347</v>
      </c>
      <c r="B22" s="1">
        <v>21</v>
      </c>
      <c r="C22" s="1" t="s">
        <v>59</v>
      </c>
      <c r="D22" s="1" t="s">
        <v>29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46351</v>
      </c>
      <c r="B23" s="1">
        <v>22</v>
      </c>
      <c r="C23" s="1" t="s">
        <v>60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46353</v>
      </c>
      <c r="B24" s="1">
        <v>23</v>
      </c>
      <c r="C24" s="1" t="s">
        <v>60</v>
      </c>
      <c r="D24" s="1" t="s">
        <v>19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46354</v>
      </c>
      <c r="B25" s="1">
        <v>24</v>
      </c>
      <c r="C25" s="1" t="s">
        <v>59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46357</v>
      </c>
      <c r="B26" s="1">
        <v>25</v>
      </c>
      <c r="C26" s="1" t="s">
        <v>60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46359</v>
      </c>
      <c r="B27" s="1">
        <v>26</v>
      </c>
      <c r="C27" s="1" t="s">
        <v>59</v>
      </c>
      <c r="D27" s="1" t="s">
        <v>20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46361</v>
      </c>
      <c r="B28" s="1">
        <v>27</v>
      </c>
      <c r="C28" s="1" t="s">
        <v>59</v>
      </c>
      <c r="D28" s="1" t="s">
        <v>27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46363</v>
      </c>
      <c r="B29" s="1">
        <v>28</v>
      </c>
      <c r="C29" s="1" t="s">
        <v>59</v>
      </c>
      <c r="D29" s="1" t="s">
        <v>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46366</v>
      </c>
      <c r="B30" s="1">
        <v>29</v>
      </c>
      <c r="C30" s="1" t="s">
        <v>59</v>
      </c>
      <c r="D30" s="1" t="s">
        <v>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46368</v>
      </c>
      <c r="B31" s="1">
        <v>30</v>
      </c>
      <c r="C31" s="1" t="s">
        <v>59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3">
      <c r="A32" s="42">
        <v>46371</v>
      </c>
      <c r="B32" s="1">
        <v>31</v>
      </c>
      <c r="C32" s="1" t="s">
        <v>59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46373</v>
      </c>
      <c r="B33" s="1">
        <v>32</v>
      </c>
      <c r="C33" s="1" t="s">
        <v>60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46375</v>
      </c>
      <c r="B34" s="1">
        <v>33</v>
      </c>
      <c r="C34" s="1" t="s">
        <v>60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46377</v>
      </c>
      <c r="B35" s="1">
        <v>34</v>
      </c>
      <c r="C35" s="1" t="s">
        <v>59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46382</v>
      </c>
      <c r="B36" s="1">
        <v>35</v>
      </c>
      <c r="C36" s="1" t="s">
        <v>60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46384</v>
      </c>
      <c r="B37" s="1">
        <v>36</v>
      </c>
      <c r="C37" s="1" t="s">
        <v>60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46386</v>
      </c>
      <c r="B38" s="1">
        <v>37</v>
      </c>
      <c r="C38" s="1" t="s">
        <v>59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46387</v>
      </c>
      <c r="B39" s="1">
        <v>38</v>
      </c>
      <c r="C39" s="1" t="s">
        <v>59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46024</v>
      </c>
      <c r="B40" s="1">
        <v>39</v>
      </c>
      <c r="C40" s="1" t="s">
        <v>60</v>
      </c>
      <c r="D40" s="1" t="s">
        <v>11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46026</v>
      </c>
      <c r="B41" s="1">
        <v>40</v>
      </c>
      <c r="C41" s="1" t="s">
        <v>60</v>
      </c>
      <c r="D41" s="1" t="s">
        <v>4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46028</v>
      </c>
      <c r="B42" s="1">
        <v>41</v>
      </c>
      <c r="C42" s="1" t="s">
        <v>59</v>
      </c>
      <c r="D42" s="1" t="s">
        <v>18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46030</v>
      </c>
      <c r="B43" s="1">
        <v>42</v>
      </c>
      <c r="C43" s="1" t="s">
        <v>59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46032</v>
      </c>
      <c r="B44" s="1">
        <v>43</v>
      </c>
      <c r="C44" s="1" t="s">
        <v>59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3">
      <c r="A45" s="42">
        <v>46034</v>
      </c>
      <c r="B45" s="1">
        <v>44</v>
      </c>
      <c r="C45" s="1" t="s">
        <v>60</v>
      </c>
      <c r="D45" s="1" t="s">
        <v>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3">
      <c r="A46" s="42">
        <v>46036</v>
      </c>
      <c r="B46" s="1">
        <v>45</v>
      </c>
      <c r="C46" s="1" t="s">
        <v>60</v>
      </c>
      <c r="D46" s="1" t="s">
        <v>26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3">
      <c r="A47" s="42">
        <v>46038</v>
      </c>
      <c r="B47" s="1">
        <v>46</v>
      </c>
      <c r="C47" s="1" t="s">
        <v>60</v>
      </c>
      <c r="D47" s="1" t="s">
        <v>24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3">
      <c r="A48" s="42">
        <v>46040</v>
      </c>
      <c r="B48" s="1">
        <v>47</v>
      </c>
      <c r="C48" s="1" t="s">
        <v>59</v>
      </c>
      <c r="D48" s="1" t="s">
        <v>9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3">
      <c r="A49" s="42">
        <v>46041</v>
      </c>
      <c r="B49" s="1">
        <v>48</v>
      </c>
      <c r="C49" s="1" t="s">
        <v>60</v>
      </c>
      <c r="D49" s="1" t="s">
        <v>16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3">
      <c r="A50" s="42">
        <v>46044</v>
      </c>
      <c r="B50" s="1">
        <v>49</v>
      </c>
      <c r="C50" s="1" t="s">
        <v>60</v>
      </c>
      <c r="D50" s="1" t="s">
        <v>13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3">
      <c r="A51" s="42">
        <v>46046</v>
      </c>
      <c r="B51" s="1">
        <v>50</v>
      </c>
      <c r="C51" s="1" t="s">
        <v>59</v>
      </c>
      <c r="D51" s="1" t="s">
        <v>14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3">
      <c r="A52" s="42">
        <v>46051</v>
      </c>
      <c r="B52" s="1">
        <v>51</v>
      </c>
      <c r="C52" s="1" t="s">
        <v>59</v>
      </c>
      <c r="D52" s="1" t="s">
        <v>89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3">
      <c r="A53" s="42">
        <v>46052</v>
      </c>
      <c r="B53" s="1">
        <v>52</v>
      </c>
      <c r="C53" s="1" t="s">
        <v>59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3">
      <c r="A54" s="42">
        <v>46055</v>
      </c>
      <c r="B54" s="1">
        <v>53</v>
      </c>
      <c r="C54" s="1" t="s">
        <v>60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3">
      <c r="A55" s="42">
        <v>46056</v>
      </c>
      <c r="B55" s="1">
        <v>54</v>
      </c>
      <c r="C55" s="1" t="s">
        <v>59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3">
      <c r="A56" s="42">
        <v>46066</v>
      </c>
      <c r="B56" s="1">
        <v>55</v>
      </c>
      <c r="C56" s="1" t="s">
        <v>59</v>
      </c>
      <c r="D56" s="1" t="s">
        <v>16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3">
      <c r="A57" s="42">
        <v>46067</v>
      </c>
      <c r="B57" s="1">
        <v>56</v>
      </c>
      <c r="C57" s="1" t="s">
        <v>60</v>
      </c>
      <c r="D57" s="1" t="s">
        <v>89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3">
      <c r="A58" s="42">
        <v>46069</v>
      </c>
      <c r="B58" s="1">
        <v>57</v>
      </c>
      <c r="C58" s="1" t="s">
        <v>60</v>
      </c>
      <c r="D58" s="1" t="s">
        <v>31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3">
      <c r="A59" s="42">
        <v>46072</v>
      </c>
      <c r="B59" s="1">
        <v>58</v>
      </c>
      <c r="C59" s="1" t="s">
        <v>60</v>
      </c>
      <c r="D59" s="1" t="s">
        <v>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3">
      <c r="A60" s="42">
        <v>46074</v>
      </c>
      <c r="B60" s="1">
        <v>59</v>
      </c>
      <c r="C60" s="1" t="s">
        <v>60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3">
      <c r="A61" s="42">
        <v>46076</v>
      </c>
      <c r="B61" s="1">
        <v>60</v>
      </c>
      <c r="C61" s="1" t="s">
        <v>60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3">
      <c r="A62" s="42">
        <v>46078</v>
      </c>
      <c r="B62" s="1">
        <v>61</v>
      </c>
      <c r="C62" s="1" t="s">
        <v>59</v>
      </c>
      <c r="D62" s="1" t="s">
        <v>29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3">
      <c r="A63" s="42">
        <v>46079</v>
      </c>
      <c r="B63" s="1">
        <v>62</v>
      </c>
      <c r="C63" s="1" t="s">
        <v>59</v>
      </c>
      <c r="D63" s="1" t="s">
        <v>12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3">
      <c r="A64" s="42">
        <v>46082</v>
      </c>
      <c r="B64" s="1">
        <v>63</v>
      </c>
      <c r="C64" s="1" t="s">
        <v>59</v>
      </c>
      <c r="D64" s="1" t="s">
        <v>13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3">
      <c r="A65" s="42">
        <v>46084</v>
      </c>
      <c r="B65" s="1">
        <v>64</v>
      </c>
      <c r="C65" s="1" t="s">
        <v>60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3">
      <c r="A66" s="42">
        <v>46086</v>
      </c>
      <c r="B66" s="1">
        <v>65</v>
      </c>
      <c r="C66" s="1" t="s">
        <v>59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3">
      <c r="A67" s="42">
        <v>46088</v>
      </c>
      <c r="B67" s="1">
        <v>66</v>
      </c>
      <c r="C67" s="1" t="s">
        <v>59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3">
      <c r="A68" s="42">
        <v>46090</v>
      </c>
      <c r="B68" s="1">
        <v>67</v>
      </c>
      <c r="C68" s="1" t="s">
        <v>60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3">
      <c r="A69" s="42">
        <v>46091</v>
      </c>
      <c r="B69" s="1">
        <v>68</v>
      </c>
      <c r="C69" s="1" t="s">
        <v>59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3">
      <c r="A70" s="42">
        <v>46094</v>
      </c>
      <c r="B70" s="1">
        <v>69</v>
      </c>
      <c r="C70" s="1" t="s">
        <v>59</v>
      </c>
      <c r="D70" s="1" t="s">
        <v>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3">
      <c r="A71" s="42">
        <v>46096</v>
      </c>
      <c r="B71" s="1">
        <v>70</v>
      </c>
      <c r="C71" s="1" t="s">
        <v>60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3">
      <c r="A72" s="42">
        <v>46098</v>
      </c>
      <c r="B72" s="1">
        <v>71</v>
      </c>
      <c r="C72" s="1" t="s">
        <v>60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3">
      <c r="A73" s="42">
        <v>46099</v>
      </c>
      <c r="B73" s="1">
        <v>72</v>
      </c>
      <c r="C73" s="1" t="s">
        <v>59</v>
      </c>
      <c r="D73" s="1" t="s">
        <v>28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3">
      <c r="A74" s="42">
        <v>46102</v>
      </c>
      <c r="B74" s="1">
        <v>73</v>
      </c>
      <c r="C74" s="1" t="s">
        <v>59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3">
      <c r="A75" s="42">
        <v>46104</v>
      </c>
      <c r="B75" s="1">
        <v>74</v>
      </c>
      <c r="C75" s="1" t="s">
        <v>60</v>
      </c>
      <c r="D75" s="1" t="s">
        <v>21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3">
      <c r="A76" s="42">
        <v>46105</v>
      </c>
      <c r="B76" s="1">
        <v>75</v>
      </c>
      <c r="C76" s="1" t="s">
        <v>59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3">
      <c r="A77" s="42">
        <v>46107</v>
      </c>
      <c r="B77" s="1">
        <v>76</v>
      </c>
      <c r="C77" s="1" t="s">
        <v>60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3">
      <c r="A78" s="42">
        <v>46109</v>
      </c>
      <c r="B78" s="1">
        <v>77</v>
      </c>
      <c r="C78" s="1" t="s">
        <v>59</v>
      </c>
      <c r="D78" s="1" t="s">
        <v>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3">
      <c r="A79" s="42">
        <v>46111</v>
      </c>
      <c r="B79" s="1">
        <v>78</v>
      </c>
      <c r="C79" s="1" t="s">
        <v>60</v>
      </c>
      <c r="D79" s="1" t="s">
        <v>25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3">
      <c r="A80" s="42">
        <v>46113</v>
      </c>
      <c r="B80" s="1">
        <v>79</v>
      </c>
      <c r="C80" s="1" t="s">
        <v>59</v>
      </c>
      <c r="D80" s="1" t="s">
        <v>10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3">
      <c r="A81" s="42">
        <v>46115</v>
      </c>
      <c r="B81" s="1">
        <v>80</v>
      </c>
      <c r="C81" s="1" t="s">
        <v>60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3">
      <c r="A82" s="42">
        <v>46116</v>
      </c>
      <c r="B82" s="1">
        <v>81</v>
      </c>
      <c r="C82" s="1" t="s">
        <v>60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3">
      <c r="A83" s="42">
        <v>46118</v>
      </c>
      <c r="B83" s="1">
        <v>82</v>
      </c>
      <c r="C83" s="1" t="s">
        <v>59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3">
      <c r="A84" s="42">
        <v>46120</v>
      </c>
      <c r="B84" s="1">
        <v>83</v>
      </c>
      <c r="C84" s="1" t="s">
        <v>59</v>
      </c>
      <c r="D84" s="1" t="s">
        <v>11</v>
      </c>
      <c r="I84" s="1" t="str">
        <f t="shared" ref="I84:I85" si="75">IF(E84="","",IF(E84&gt;F84,I83+1,I83))</f>
        <v/>
      </c>
      <c r="J84" s="1" t="str">
        <f t="shared" ref="J84:J85" si="76">IF(E84="","",IF(AND(F84&gt;E84,G84=$AK$2,H84=$AK$2),J83+1,J83))</f>
        <v/>
      </c>
      <c r="K84" s="1" t="str">
        <f t="shared" ref="K84:K85" si="77">IF(E84="","",IF(AND(G84=$AK$1,E84&gt;F84),K83+1,K83))</f>
        <v/>
      </c>
      <c r="L84" s="1" t="str">
        <f t="shared" ref="L84:L85" si="78">IF(E84="","",IF(AND(OR(G84=$AK$1,H84=$AK$1),E84&lt;F84),L83+1,L83))</f>
        <v/>
      </c>
      <c r="M84" s="1" t="str">
        <f t="shared" ref="M84:M85" si="79">IF(E84="","",IF(AND(H84=$AK$1,E84&gt;F84),M83+1,M83))</f>
        <v/>
      </c>
      <c r="N84" s="1" t="str">
        <f t="shared" ref="N84:N85" si="80">IF(E84="","",IF(AND(H84=$AK$1,E84&lt;F84),N83+1,N83))</f>
        <v/>
      </c>
      <c r="O84" s="1" t="str">
        <f t="shared" ref="O84:O85" si="81">IF(E84="","",IF(AND(C84=$AL$1,E84&gt;F84),O83+1,O83))</f>
        <v/>
      </c>
      <c r="P84" s="1" t="str">
        <f t="shared" ref="P84:P85" si="82">IF(E84="","",IF(AND(C84=$AL$1,F84&gt;E84,G84=$AK$2,H84=$AK$2), P83+1, P83))</f>
        <v/>
      </c>
      <c r="Q84" s="1" t="str">
        <f t="shared" ref="Q84:Q85" si="83">IF(E84="","",IF(AND(C84=$AL$1,F84&gt;E84,OR(G84=$AK$1,H84=$AK$1)),Q83+1, Q83))</f>
        <v/>
      </c>
      <c r="R84" s="1" t="str">
        <f t="shared" ref="R84:R85" si="84">IF(E84="","",IF(AND(C84=$AL$2,E84&gt;F84),R83+1,R83))</f>
        <v/>
      </c>
      <c r="S84" s="1" t="str">
        <f t="shared" ref="S84:S85" si="85">IF(E84="","",IF(AND(C84=$AL$2,F84&gt;E84,G84=$AK$2,H84=$AK$2),S83+1,S83))</f>
        <v/>
      </c>
      <c r="T84" s="1" t="str">
        <f t="shared" ref="T84:T85" si="86">IF(E84="","",IF(AND(C84=$AL$2,F84&gt;E84,OR(G84=$AK$1,H84=$AK$1)), T83+1, T83))</f>
        <v/>
      </c>
      <c r="U84" s="1" t="str">
        <f t="shared" ref="U84:U85" si="87">IF(E84="","",IF(AND(E84&gt;F84,COUNTIF($AO$1:$AO$7,D84)=1),U83+1,U83))</f>
        <v/>
      </c>
      <c r="V84" s="1" t="str">
        <f t="shared" ref="V84:V85" si="88">IF(E84="","",IF(AND(E84&lt;F84,G84=$AK$2,H84=$AK$2,COUNTIF($AO$1:$AO$7,D84)=1),V83+1,V83))</f>
        <v/>
      </c>
      <c r="W84" s="1" t="str">
        <f t="shared" ref="W84:W85" si="89">IF(E84="","",IF(AND(E84&lt;F84,COUNTIF($AO$1:$AO$7,D84)=1,OR(G84=$AK$1,H84=$AK$1)), W83+1, W83))</f>
        <v/>
      </c>
      <c r="X84" s="1" t="str">
        <f t="shared" ref="X84:X85" si="90">IF(E84="","",IF(AND(E84&gt;F84,COUNTIF($AN$1:$AN$15,D84)=1),X83+1,X83))</f>
        <v/>
      </c>
      <c r="Y84" s="1" t="str">
        <f t="shared" ref="Y84:Y85" si="91">IF(E84="","",IF(AND(E84&lt;F84,G84=$AK$2,H84=$AK$2,COUNTIF($AN$1:$AN$15,D84)=1),Y83+1,Y83))</f>
        <v/>
      </c>
      <c r="Z84" s="1" t="str">
        <f t="shared" ref="Z84:Z85" si="92">IF(E84="","",IF(AND(E84&lt;F84,COUNTIF($AN$1:$AN$15,D84)=1,OR(G84=$AK$1,H84=$AK$1)), Z83+1, Z83))</f>
        <v/>
      </c>
      <c r="AA84" s="1" t="str">
        <f t="shared" ref="AA84:AA85" si="93">IF(E84="","",IF(E84&gt;F84,"W","L"))</f>
        <v/>
      </c>
      <c r="AB84" s="1" t="str">
        <f t="shared" ref="AB84:AB85" si="94">IF(AA84="","",IF(AA84=AA83,AB83+1,1))</f>
        <v/>
      </c>
      <c r="AC84" s="1" t="str">
        <f t="shared" ref="AC84:AC85" si="95">IF(E84="","",IF(E84&gt;F84,"W",IF(AND(E84&lt;F84,G84=$AK$2,H84=$AK$2),"L","OTL")))</f>
        <v/>
      </c>
      <c r="AD84" s="1" t="str">
        <f t="shared" ref="AD84:AD85" si="96">IF(AC84="","",COUNTIFS(AC75:AC84,"W"))</f>
        <v/>
      </c>
      <c r="AE84" s="1" t="str">
        <f t="shared" ref="AE84:AE85" si="97">IF(AC84="","",COUNTIFS(AC75:AC84,"L"))</f>
        <v/>
      </c>
      <c r="AF84" s="1" t="str">
        <f t="shared" ref="AF84:AF85" si="98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10</v>
      </c>
      <c r="I85" s="1" t="str">
        <f t="shared" si="75"/>
        <v/>
      </c>
      <c r="J85" s="1" t="str">
        <f t="shared" si="76"/>
        <v/>
      </c>
      <c r="K85" s="1" t="str">
        <f t="shared" si="77"/>
        <v/>
      </c>
      <c r="L85" s="1" t="str">
        <f t="shared" si="78"/>
        <v/>
      </c>
      <c r="M85" s="1" t="str">
        <f t="shared" si="79"/>
        <v/>
      </c>
      <c r="N85" s="1" t="str">
        <f t="shared" si="80"/>
        <v/>
      </c>
      <c r="O85" s="1" t="str">
        <f t="shared" si="81"/>
        <v/>
      </c>
      <c r="P85" s="1" t="str">
        <f t="shared" si="82"/>
        <v/>
      </c>
      <c r="Q85" s="1" t="str">
        <f t="shared" si="83"/>
        <v/>
      </c>
      <c r="R85" s="1" t="str">
        <f t="shared" si="84"/>
        <v/>
      </c>
      <c r="S85" s="1" t="str">
        <f t="shared" si="85"/>
        <v/>
      </c>
      <c r="T85" s="1" t="str">
        <f t="shared" si="86"/>
        <v/>
      </c>
      <c r="U85" s="1" t="str">
        <f t="shared" si="87"/>
        <v/>
      </c>
      <c r="V85" s="1" t="str">
        <f t="shared" si="88"/>
        <v/>
      </c>
      <c r="W85" s="1" t="str">
        <f t="shared" si="89"/>
        <v/>
      </c>
      <c r="X85" s="1" t="str">
        <f t="shared" si="90"/>
        <v/>
      </c>
      <c r="Y85" s="1" t="str">
        <f t="shared" si="91"/>
        <v/>
      </c>
      <c r="Z85" s="1" t="str">
        <f t="shared" si="92"/>
        <v/>
      </c>
      <c r="AA85" s="1" t="str">
        <f t="shared" si="93"/>
        <v/>
      </c>
      <c r="AB85" s="1" t="str">
        <f t="shared" si="94"/>
        <v/>
      </c>
      <c r="AC85" s="1" t="str">
        <f t="shared" si="95"/>
        <v/>
      </c>
      <c r="AD85" s="1" t="str">
        <f t="shared" si="96"/>
        <v/>
      </c>
      <c r="AE85" s="1" t="str">
        <f t="shared" si="97"/>
        <v/>
      </c>
      <c r="AF85" s="1" t="str">
        <f t="shared" si="98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9">IF(I1="",0,MAX(I1:I85))</f>
        <v>4</v>
      </c>
      <c r="J86" s="1">
        <f t="shared" si="99"/>
        <v>3</v>
      </c>
      <c r="K86" s="1">
        <f t="shared" si="99"/>
        <v>0</v>
      </c>
      <c r="L86" s="1">
        <f t="shared" si="99"/>
        <v>0</v>
      </c>
      <c r="M86" s="1">
        <f t="shared" si="99"/>
        <v>0</v>
      </c>
      <c r="N86" s="1">
        <f t="shared" si="99"/>
        <v>0</v>
      </c>
      <c r="O86" s="1">
        <f t="shared" ref="O86:Z86" si="100">IF(O2="","",MAX(O2:O85))</f>
        <v>3</v>
      </c>
      <c r="P86" s="1">
        <f t="shared" si="100"/>
        <v>1</v>
      </c>
      <c r="Q86" s="1">
        <f t="shared" si="100"/>
        <v>0</v>
      </c>
      <c r="R86" s="1">
        <f t="shared" si="100"/>
        <v>1</v>
      </c>
      <c r="S86" s="1">
        <f t="shared" si="100"/>
        <v>2</v>
      </c>
      <c r="T86" s="1">
        <f t="shared" si="100"/>
        <v>0</v>
      </c>
      <c r="U86" s="1">
        <f t="shared" si="100"/>
        <v>3</v>
      </c>
      <c r="V86" s="1">
        <f t="shared" si="100"/>
        <v>1</v>
      </c>
      <c r="W86" s="1">
        <f t="shared" si="100"/>
        <v>0</v>
      </c>
      <c r="X86" s="1">
        <f t="shared" si="100"/>
        <v>4</v>
      </c>
      <c r="Y86" s="1">
        <f t="shared" si="100"/>
        <v>2</v>
      </c>
      <c r="Z86" s="1">
        <f t="shared" si="100"/>
        <v>0</v>
      </c>
      <c r="AA86" s="1" t="str" cm="1">
        <f t="array" ref="AA86">IF(LOOKUP(2,1 / (AA1:AA85 &lt;&gt; ""),AA1:AA85)="Streak","",LOOKUP(2,1 / (AA1:AA85 &lt;&gt; ""),AA1:AA85))</f>
        <v>W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3</v>
      </c>
      <c r="AF86" s="1" cm="1">
        <f t="array" ref="AF86">IF(LOOKUP(2,1 / (AF1:AF85 &lt;&gt; ""),AF1:AF85)="L10 L","",LOOKUP(2,1 / (AF1:AF85 &lt;&gt; ""),AF1:AF85))</f>
        <v>0</v>
      </c>
    </row>
    <row r="87" spans="1:33" x14ac:dyDescent="0.3">
      <c r="C87" s="1">
        <f>COUNTIF(C1:C85,"Away")</f>
        <v>42</v>
      </c>
      <c r="E87" s="1">
        <f>SUM(E2:E85)</f>
        <v>24</v>
      </c>
      <c r="F87" s="1">
        <f>SUM(F2:F85)</f>
        <v>22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3-1-0</v>
      </c>
      <c r="R87" s="1" t="str">
        <f>IF(R86="","0-0-0",CONCATENATE(R86,"-",S86,"-",T86))</f>
        <v>1-2-0</v>
      </c>
      <c r="U87" s="1" t="str">
        <f>IF(U86="","0-0-0",CONCATENATE(U86,"-",V86,"-",W86))</f>
        <v>3-1-0</v>
      </c>
      <c r="X87" s="1" t="str">
        <f>IF(X86="","0-0-0",CONCATENATE(X86,"-",Y86,"-",Z86))</f>
        <v>4-2-0</v>
      </c>
      <c r="AA87" s="1" t="str">
        <f>IF(AA86="","0-0",CONCATENATE(AA86,AB86))</f>
        <v>W1</v>
      </c>
      <c r="AD87" s="1" t="str">
        <f>IF(AD86="","0-0-0",CONCATENATE(AD86,"-",AE86,"-",AF86))</f>
        <v>4-3-0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900-000002000000}">
      <formula1>$AK$1:$AK$2</formula1>
    </dataValidation>
    <dataValidation type="list" allowBlank="1" showInputMessage="1" showErrorMessage="1" sqref="C2:C85" xr:uid="{00000000-0002-0000-D900-000000000000}">
      <formula1>$AL$1:$AL$2</formula1>
    </dataValidation>
    <dataValidation type="list" allowBlank="1" showInputMessage="1" showErrorMessage="1" sqref="D2:D85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8"/>
  <sheetViews>
    <sheetView workbookViewId="0">
      <selection activeCell="AG1" sqref="AG1"/>
    </sheetView>
  </sheetViews>
  <sheetFormatPr defaultColWidth="9.109375" defaultRowHeight="14.4" x14ac:dyDescent="0.3"/>
  <cols>
    <col min="1" max="1" width="30.6640625" style="42" customWidth="1"/>
    <col min="2" max="3" width="11.109375" style="1" customWidth="1"/>
    <col min="4" max="4" width="31.88671875" style="1" customWidth="1"/>
    <col min="5" max="38" width="9.109375" style="1"/>
    <col min="39" max="39" width="20.6640625" style="1" bestFit="1" customWidth="1"/>
    <col min="40" max="40" width="23.88671875" style="1" bestFit="1" customWidth="1"/>
    <col min="41" max="41" width="25" style="1" customWidth="1"/>
    <col min="42" max="16384" width="9.109375" style="1"/>
  </cols>
  <sheetData>
    <row r="1" spans="1:41" x14ac:dyDescent="0.3">
      <c r="A1" s="42" t="s">
        <v>34</v>
      </c>
      <c r="B1" s="1" t="s">
        <v>88</v>
      </c>
      <c r="C1" s="1" t="s">
        <v>87</v>
      </c>
      <c r="D1" s="1" t="s">
        <v>86</v>
      </c>
      <c r="E1" s="1" t="s">
        <v>56</v>
      </c>
      <c r="F1" s="1" t="s">
        <v>55</v>
      </c>
      <c r="G1" s="1" t="s">
        <v>85</v>
      </c>
      <c r="H1" s="1" t="s">
        <v>84</v>
      </c>
      <c r="I1" s="1" t="s">
        <v>64</v>
      </c>
      <c r="J1" s="1" t="s">
        <v>63</v>
      </c>
      <c r="K1" s="1" t="s">
        <v>73</v>
      </c>
      <c r="L1" s="1" t="s">
        <v>62</v>
      </c>
      <c r="M1" s="1" t="s">
        <v>47</v>
      </c>
      <c r="N1" s="1" t="s">
        <v>45</v>
      </c>
      <c r="O1" s="45" t="s">
        <v>60</v>
      </c>
      <c r="P1" s="45"/>
      <c r="Q1" s="45"/>
      <c r="R1" s="45" t="s">
        <v>59</v>
      </c>
      <c r="S1" s="45"/>
      <c r="T1" s="45"/>
      <c r="U1" s="45" t="s">
        <v>58</v>
      </c>
      <c r="V1" s="45"/>
      <c r="W1" s="45"/>
      <c r="X1" s="45" t="s">
        <v>57</v>
      </c>
      <c r="Y1" s="45"/>
      <c r="Z1" s="45"/>
      <c r="AA1" s="1" t="s">
        <v>72</v>
      </c>
      <c r="AB1" s="1" t="s">
        <v>83</v>
      </c>
      <c r="AC1" s="1" t="s">
        <v>82</v>
      </c>
      <c r="AD1" s="1" t="s">
        <v>81</v>
      </c>
      <c r="AE1" s="1" t="s">
        <v>80</v>
      </c>
      <c r="AF1" s="1" t="s">
        <v>79</v>
      </c>
      <c r="AG1" s="43" t="s">
        <v>60</v>
      </c>
      <c r="AJ1" s="1" t="s">
        <v>64</v>
      </c>
      <c r="AK1" s="1" t="s">
        <v>78</v>
      </c>
      <c r="AL1" s="1" t="s">
        <v>60</v>
      </c>
      <c r="AM1" s="1" t="s">
        <v>31</v>
      </c>
      <c r="AN1" s="1" t="s">
        <v>31</v>
      </c>
      <c r="AO1" s="1" t="s">
        <v>25</v>
      </c>
    </row>
    <row r="2" spans="1:41" x14ac:dyDescent="0.3">
      <c r="A2" s="42">
        <v>46297</v>
      </c>
      <c r="B2" s="1">
        <v>1</v>
      </c>
      <c r="C2" s="1" t="s">
        <v>60</v>
      </c>
      <c r="D2" s="1" t="s">
        <v>29</v>
      </c>
      <c r="E2" s="1">
        <v>3</v>
      </c>
      <c r="F2" s="1">
        <v>4</v>
      </c>
      <c r="G2" s="1" t="s">
        <v>78</v>
      </c>
      <c r="H2" s="1" t="s">
        <v>77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63</v>
      </c>
      <c r="AK2" s="1" t="s">
        <v>77</v>
      </c>
      <c r="AL2" s="1" t="s">
        <v>59</v>
      </c>
      <c r="AM2" s="1" t="s">
        <v>29</v>
      </c>
      <c r="AN2" s="1" t="s">
        <v>27</v>
      </c>
      <c r="AO2" s="1" t="s">
        <v>24</v>
      </c>
    </row>
    <row r="3" spans="1:41" x14ac:dyDescent="0.3">
      <c r="A3" s="42">
        <v>46299</v>
      </c>
      <c r="B3" s="1">
        <v>2</v>
      </c>
      <c r="C3" s="1" t="s">
        <v>59</v>
      </c>
      <c r="D3" s="1" t="s">
        <v>21</v>
      </c>
      <c r="E3" s="1">
        <v>3</v>
      </c>
      <c r="F3" s="1">
        <v>2</v>
      </c>
      <c r="G3" s="1" t="s">
        <v>77</v>
      </c>
      <c r="H3" s="1" t="s">
        <v>77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62</v>
      </c>
      <c r="AM3" s="1" t="s">
        <v>28</v>
      </c>
      <c r="AN3" s="1" t="s">
        <v>25</v>
      </c>
      <c r="AO3" s="1" t="s">
        <v>22</v>
      </c>
    </row>
    <row r="4" spans="1:41" x14ac:dyDescent="0.3">
      <c r="A4" s="42">
        <v>46300</v>
      </c>
      <c r="B4" s="1">
        <v>3</v>
      </c>
      <c r="C4" s="1" t="s">
        <v>59</v>
      </c>
      <c r="D4" s="1" t="s">
        <v>9</v>
      </c>
      <c r="E4" s="1">
        <v>3</v>
      </c>
      <c r="F4" s="1">
        <v>2</v>
      </c>
      <c r="G4" s="1" t="s">
        <v>77</v>
      </c>
      <c r="H4" s="1" t="s">
        <v>77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3">
      <c r="A5" s="42">
        <v>46302</v>
      </c>
      <c r="B5" s="1">
        <v>4</v>
      </c>
      <c r="C5" s="1" t="s">
        <v>60</v>
      </c>
      <c r="D5" s="1" t="s">
        <v>24</v>
      </c>
      <c r="E5" s="1">
        <v>3</v>
      </c>
      <c r="F5" s="1">
        <v>2</v>
      </c>
      <c r="G5" s="1" t="s">
        <v>77</v>
      </c>
      <c r="H5" s="1" t="s">
        <v>77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15</v>
      </c>
    </row>
    <row r="6" spans="1:41" x14ac:dyDescent="0.3">
      <c r="A6" s="42">
        <v>46304</v>
      </c>
      <c r="B6" s="1">
        <v>5</v>
      </c>
      <c r="C6" s="1" t="s">
        <v>60</v>
      </c>
      <c r="D6" s="1" t="s">
        <v>31</v>
      </c>
      <c r="E6" s="1">
        <v>1</v>
      </c>
      <c r="F6" s="1">
        <v>5</v>
      </c>
      <c r="G6" s="1" t="s">
        <v>77</v>
      </c>
      <c r="H6" s="1" t="s">
        <v>77</v>
      </c>
      <c r="I6" s="1">
        <f t="shared" si="2"/>
        <v>3</v>
      </c>
      <c r="J6" s="1">
        <f t="shared" si="3"/>
        <v>1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1</v>
      </c>
      <c r="AC6" s="1" t="str">
        <f t="shared" si="1"/>
        <v>L</v>
      </c>
      <c r="AD6" s="1">
        <f t="shared" si="21"/>
        <v>3</v>
      </c>
      <c r="AE6" s="1">
        <f t="shared" si="22"/>
        <v>1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6</v>
      </c>
    </row>
    <row r="7" spans="1:41" x14ac:dyDescent="0.3">
      <c r="A7" s="42">
        <v>46308</v>
      </c>
      <c r="B7" s="1">
        <v>6</v>
      </c>
      <c r="C7" s="1" t="s">
        <v>60</v>
      </c>
      <c r="D7" s="1" t="s">
        <v>17</v>
      </c>
      <c r="E7" s="1">
        <v>5</v>
      </c>
      <c r="F7" s="1">
        <v>2</v>
      </c>
      <c r="G7" s="1" t="s">
        <v>77</v>
      </c>
      <c r="H7" s="1" t="s">
        <v>77</v>
      </c>
      <c r="I7" s="1">
        <f t="shared" si="2"/>
        <v>4</v>
      </c>
      <c r="J7" s="1">
        <f t="shared" si="3"/>
        <v>1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4</v>
      </c>
      <c r="AE7" s="1">
        <f t="shared" si="22"/>
        <v>1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89</v>
      </c>
    </row>
    <row r="8" spans="1:41" x14ac:dyDescent="0.3">
      <c r="A8" s="42">
        <v>46310</v>
      </c>
      <c r="B8" s="1">
        <v>7</v>
      </c>
      <c r="C8" s="1" t="s">
        <v>59</v>
      </c>
      <c r="D8" s="1" t="s">
        <v>25</v>
      </c>
      <c r="E8" s="1">
        <v>3</v>
      </c>
      <c r="F8" s="1">
        <v>4</v>
      </c>
      <c r="G8" s="1" t="s">
        <v>78</v>
      </c>
      <c r="H8" s="1" t="s">
        <v>77</v>
      </c>
      <c r="I8" s="1">
        <f t="shared" si="2"/>
        <v>4</v>
      </c>
      <c r="J8" s="1">
        <f t="shared" si="3"/>
        <v>1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4</v>
      </c>
      <c r="AE8" s="1">
        <f t="shared" si="22"/>
        <v>1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3">
      <c r="A9" s="42">
        <v>46312</v>
      </c>
      <c r="B9" s="1">
        <v>8</v>
      </c>
      <c r="C9" s="1" t="s">
        <v>60</v>
      </c>
      <c r="D9" s="1" t="s">
        <v>26</v>
      </c>
      <c r="I9" s="1" t="str">
        <f t="shared" si="2"/>
        <v/>
      </c>
      <c r="J9" s="1" t="str">
        <f t="shared" si="3"/>
        <v/>
      </c>
      <c r="K9" s="1" t="str">
        <f t="shared" si="4"/>
        <v/>
      </c>
      <c r="L9" s="1" t="str">
        <f t="shared" si="5"/>
        <v/>
      </c>
      <c r="M9" s="1" t="str">
        <f t="shared" si="6"/>
        <v/>
      </c>
      <c r="N9" s="1" t="str">
        <f t="shared" si="7"/>
        <v/>
      </c>
      <c r="O9" s="1" t="str">
        <f t="shared" si="8"/>
        <v/>
      </c>
      <c r="P9" s="1" t="str">
        <f t="shared" si="9"/>
        <v/>
      </c>
      <c r="Q9" s="1" t="str">
        <f t="shared" si="10"/>
        <v/>
      </c>
      <c r="R9" s="1" t="str">
        <f t="shared" si="11"/>
        <v/>
      </c>
      <c r="S9" s="1" t="str">
        <f t="shared" si="12"/>
        <v/>
      </c>
      <c r="T9" s="1" t="str">
        <f t="shared" si="13"/>
        <v/>
      </c>
      <c r="U9" s="1" t="str">
        <f t="shared" si="14"/>
        <v/>
      </c>
      <c r="V9" s="1" t="str">
        <f t="shared" si="15"/>
        <v/>
      </c>
      <c r="W9" s="1" t="str">
        <f t="shared" si="16"/>
        <v/>
      </c>
      <c r="X9" s="1" t="str">
        <f t="shared" si="17"/>
        <v/>
      </c>
      <c r="Y9" s="1" t="str">
        <f t="shared" si="18"/>
        <v/>
      </c>
      <c r="Z9" s="1" t="str">
        <f t="shared" si="19"/>
        <v/>
      </c>
      <c r="AA9" s="1" t="str">
        <f t="shared" si="0"/>
        <v/>
      </c>
      <c r="AB9" s="1" t="str">
        <f t="shared" si="20"/>
        <v/>
      </c>
      <c r="AC9" s="1" t="str">
        <f t="shared" si="1"/>
        <v/>
      </c>
      <c r="AD9" s="1" t="str">
        <f t="shared" si="21"/>
        <v/>
      </c>
      <c r="AE9" s="1" t="str">
        <f t="shared" si="22"/>
        <v/>
      </c>
      <c r="AF9" s="1" t="str">
        <f t="shared" si="23"/>
        <v/>
      </c>
      <c r="AG9" s="43"/>
      <c r="AM9" s="1" t="s">
        <v>22</v>
      </c>
      <c r="AN9" s="1" t="s">
        <v>15</v>
      </c>
    </row>
    <row r="10" spans="1:41" x14ac:dyDescent="0.3">
      <c r="A10" s="42">
        <v>46315</v>
      </c>
      <c r="B10" s="1">
        <v>9</v>
      </c>
      <c r="C10" s="1" t="s">
        <v>59</v>
      </c>
      <c r="D10" s="1" t="s">
        <v>6</v>
      </c>
      <c r="I10" s="1" t="str">
        <f t="shared" si="2"/>
        <v/>
      </c>
      <c r="J10" s="1" t="str">
        <f t="shared" si="3"/>
        <v/>
      </c>
      <c r="K10" s="1" t="str">
        <f t="shared" si="4"/>
        <v/>
      </c>
      <c r="L10" s="1" t="str">
        <f t="shared" si="5"/>
        <v/>
      </c>
      <c r="M10" s="1" t="str">
        <f t="shared" si="6"/>
        <v/>
      </c>
      <c r="N10" s="1" t="str">
        <f t="shared" si="7"/>
        <v/>
      </c>
      <c r="O10" s="1" t="str">
        <f t="shared" si="8"/>
        <v/>
      </c>
      <c r="P10" s="1" t="str">
        <f t="shared" si="9"/>
        <v/>
      </c>
      <c r="Q10" s="1" t="str">
        <f t="shared" si="10"/>
        <v/>
      </c>
      <c r="R10" s="1" t="str">
        <f t="shared" si="11"/>
        <v/>
      </c>
      <c r="S10" s="1" t="str">
        <f t="shared" si="12"/>
        <v/>
      </c>
      <c r="T10" s="1" t="str">
        <f t="shared" si="13"/>
        <v/>
      </c>
      <c r="U10" s="1" t="str">
        <f t="shared" si="14"/>
        <v/>
      </c>
      <c r="V10" s="1" t="str">
        <f t="shared" si="15"/>
        <v/>
      </c>
      <c r="W10" s="1" t="str">
        <f t="shared" si="16"/>
        <v/>
      </c>
      <c r="X10" s="1" t="str">
        <f t="shared" si="17"/>
        <v/>
      </c>
      <c r="Y10" s="1" t="str">
        <f t="shared" si="18"/>
        <v/>
      </c>
      <c r="Z10" s="1" t="str">
        <f t="shared" si="19"/>
        <v/>
      </c>
      <c r="AA10" s="1" t="str">
        <f t="shared" si="0"/>
        <v/>
      </c>
      <c r="AB10" s="1" t="str">
        <f t="shared" si="20"/>
        <v/>
      </c>
      <c r="AC10" s="1" t="str">
        <f t="shared" si="1"/>
        <v/>
      </c>
      <c r="AD10" s="1" t="str">
        <f t="shared" si="21"/>
        <v/>
      </c>
      <c r="AE10" s="1" t="str">
        <f t="shared" si="22"/>
        <v/>
      </c>
      <c r="AF10" s="1" t="str">
        <f t="shared" si="23"/>
        <v/>
      </c>
      <c r="AG10" s="43"/>
      <c r="AM10" s="1" t="s">
        <v>21</v>
      </c>
      <c r="AN10" s="1" t="s">
        <v>8</v>
      </c>
    </row>
    <row r="11" spans="1:41" x14ac:dyDescent="0.3">
      <c r="A11" s="42">
        <v>46317</v>
      </c>
      <c r="B11" s="1">
        <v>10</v>
      </c>
      <c r="C11" s="1" t="s">
        <v>59</v>
      </c>
      <c r="D11" s="1" t="s">
        <v>22</v>
      </c>
      <c r="I11" s="1" t="str">
        <f t="shared" si="2"/>
        <v/>
      </c>
      <c r="J11" s="1" t="str">
        <f t="shared" si="3"/>
        <v/>
      </c>
      <c r="K11" s="1" t="str">
        <f t="shared" si="4"/>
        <v/>
      </c>
      <c r="L11" s="1" t="str">
        <f t="shared" si="5"/>
        <v/>
      </c>
      <c r="M11" s="1" t="str">
        <f t="shared" si="6"/>
        <v/>
      </c>
      <c r="N11" s="1" t="str">
        <f t="shared" si="7"/>
        <v/>
      </c>
      <c r="O11" s="1" t="str">
        <f t="shared" si="8"/>
        <v/>
      </c>
      <c r="P11" s="1" t="str">
        <f t="shared" si="9"/>
        <v/>
      </c>
      <c r="Q11" s="1" t="str">
        <f t="shared" si="10"/>
        <v/>
      </c>
      <c r="R11" s="1" t="str">
        <f t="shared" si="11"/>
        <v/>
      </c>
      <c r="S11" s="1" t="str">
        <f t="shared" si="12"/>
        <v/>
      </c>
      <c r="T11" s="1" t="str">
        <f t="shared" si="13"/>
        <v/>
      </c>
      <c r="U11" s="1" t="str">
        <f t="shared" si="14"/>
        <v/>
      </c>
      <c r="V11" s="1" t="str">
        <f t="shared" si="15"/>
        <v/>
      </c>
      <c r="W11" s="1" t="str">
        <f t="shared" si="16"/>
        <v/>
      </c>
      <c r="X11" s="1" t="str">
        <f t="shared" si="17"/>
        <v/>
      </c>
      <c r="Y11" s="1" t="str">
        <f t="shared" si="18"/>
        <v/>
      </c>
      <c r="Z11" s="1" t="str">
        <f t="shared" si="19"/>
        <v/>
      </c>
      <c r="AA11" s="1" t="str">
        <f t="shared" si="0"/>
        <v/>
      </c>
      <c r="AB11" s="1" t="str">
        <f t="shared" si="20"/>
        <v/>
      </c>
      <c r="AC11" s="1" t="str">
        <f t="shared" si="1"/>
        <v/>
      </c>
      <c r="AD11" s="1" t="str">
        <f t="shared" si="21"/>
        <v/>
      </c>
      <c r="AE11" s="1" t="str">
        <f t="shared" si="22"/>
        <v/>
      </c>
      <c r="AF11" s="1" t="str">
        <f t="shared" si="23"/>
        <v/>
      </c>
      <c r="AG11" s="43"/>
      <c r="AM11" s="1" t="s">
        <v>20</v>
      </c>
      <c r="AN11" s="1" t="s">
        <v>7</v>
      </c>
    </row>
    <row r="12" spans="1:41" x14ac:dyDescent="0.3">
      <c r="A12" s="42">
        <v>46320</v>
      </c>
      <c r="B12" s="1">
        <v>11</v>
      </c>
      <c r="C12" s="1" t="s">
        <v>60</v>
      </c>
      <c r="D12" s="1" t="s">
        <v>16</v>
      </c>
      <c r="I12" s="1" t="str">
        <f t="shared" si="2"/>
        <v/>
      </c>
      <c r="J12" s="1" t="str">
        <f t="shared" si="3"/>
        <v/>
      </c>
      <c r="K12" s="1" t="str">
        <f t="shared" si="4"/>
        <v/>
      </c>
      <c r="L12" s="1" t="str">
        <f t="shared" si="5"/>
        <v/>
      </c>
      <c r="M12" s="1" t="str">
        <f t="shared" si="6"/>
        <v/>
      </c>
      <c r="N12" s="1" t="str">
        <f t="shared" si="7"/>
        <v/>
      </c>
      <c r="O12" s="1" t="str">
        <f t="shared" si="8"/>
        <v/>
      </c>
      <c r="P12" s="1" t="str">
        <f t="shared" si="9"/>
        <v/>
      </c>
      <c r="Q12" s="1" t="str">
        <f t="shared" si="10"/>
        <v/>
      </c>
      <c r="R12" s="1" t="str">
        <f t="shared" si="11"/>
        <v/>
      </c>
      <c r="S12" s="1" t="str">
        <f t="shared" si="12"/>
        <v/>
      </c>
      <c r="T12" s="1" t="str">
        <f t="shared" si="13"/>
        <v/>
      </c>
      <c r="U12" s="1" t="str">
        <f t="shared" si="14"/>
        <v/>
      </c>
      <c r="V12" s="1" t="str">
        <f t="shared" si="15"/>
        <v/>
      </c>
      <c r="W12" s="1" t="str">
        <f t="shared" si="16"/>
        <v/>
      </c>
      <c r="X12" s="1" t="str">
        <f t="shared" si="17"/>
        <v/>
      </c>
      <c r="Y12" s="1" t="str">
        <f t="shared" si="18"/>
        <v/>
      </c>
      <c r="Z12" s="1" t="str">
        <f t="shared" si="19"/>
        <v/>
      </c>
      <c r="AA12" s="1" t="str">
        <f t="shared" si="0"/>
        <v/>
      </c>
      <c r="AB12" s="1" t="str">
        <f t="shared" si="20"/>
        <v/>
      </c>
      <c r="AC12" s="1" t="str">
        <f t="shared" si="1"/>
        <v/>
      </c>
      <c r="AD12" s="1" t="str">
        <f t="shared" ref="AD12:AD43" si="24">IF(AC12="","",COUNTIFS(AC3:AC12,"W"))</f>
        <v/>
      </c>
      <c r="AE12" s="1" t="str">
        <f t="shared" ref="AE12:AE43" si="25">IF(AC12="","",COUNTIFS(AC3:AC12,"L"))</f>
        <v/>
      </c>
      <c r="AF12" s="1" t="str">
        <f t="shared" ref="AF12:AF43" si="26">IF(AC12="","",COUNTIFS(AC3:AC12,"OTL"))</f>
        <v/>
      </c>
      <c r="AG12" s="43"/>
      <c r="AM12" s="1" t="s">
        <v>19</v>
      </c>
      <c r="AN12" s="1" t="s">
        <v>6</v>
      </c>
    </row>
    <row r="13" spans="1:41" x14ac:dyDescent="0.3">
      <c r="A13" s="42">
        <v>46322</v>
      </c>
      <c r="B13" s="1">
        <v>12</v>
      </c>
      <c r="C13" s="1" t="s">
        <v>60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89</v>
      </c>
    </row>
    <row r="14" spans="1:41" x14ac:dyDescent="0.3">
      <c r="A14" s="42">
        <v>46324</v>
      </c>
      <c r="B14" s="1">
        <v>13</v>
      </c>
      <c r="C14" s="1" t="s">
        <v>59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3">
      <c r="A15" s="42">
        <v>46325</v>
      </c>
      <c r="B15" s="1">
        <v>14</v>
      </c>
      <c r="C15" s="1" t="s">
        <v>59</v>
      </c>
      <c r="D15" s="1" t="s">
        <v>19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3">
      <c r="A16" s="42">
        <v>46327</v>
      </c>
      <c r="B16" s="1">
        <v>15</v>
      </c>
      <c r="C16" s="1" t="s">
        <v>59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3">
      <c r="A17" s="42">
        <v>46329</v>
      </c>
      <c r="B17" s="1">
        <v>16</v>
      </c>
      <c r="C17" s="1" t="s">
        <v>59</v>
      </c>
      <c r="D17" s="1" t="s">
        <v>16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3">
      <c r="A18" s="42">
        <v>46331</v>
      </c>
      <c r="B18" s="1">
        <v>17</v>
      </c>
      <c r="C18" s="1" t="s">
        <v>60</v>
      </c>
      <c r="D18" s="1" t="s">
        <v>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3">
      <c r="A19" s="42">
        <v>46334</v>
      </c>
      <c r="B19" s="1">
        <v>18</v>
      </c>
      <c r="C19" s="1" t="s">
        <v>60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3">
      <c r="A20" s="42">
        <v>46336</v>
      </c>
      <c r="B20" s="1">
        <v>19</v>
      </c>
      <c r="C20" s="1" t="s">
        <v>60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3">
      <c r="A21" s="42">
        <v>46338</v>
      </c>
      <c r="B21" s="1">
        <v>20</v>
      </c>
      <c r="C21" s="1" t="s">
        <v>59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3">
      <c r="A22" s="42">
        <v>46340</v>
      </c>
      <c r="B22" s="1">
        <v>21</v>
      </c>
      <c r="C22" s="1" t="s">
        <v>59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3">
      <c r="A23" s="42">
        <v>46343</v>
      </c>
      <c r="B23" s="1">
        <v>22</v>
      </c>
      <c r="C23" s="1" t="s">
        <v>60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3">
      <c r="A24" s="42">
        <v>46345</v>
      </c>
      <c r="B24" s="1">
        <v>23</v>
      </c>
      <c r="C24" s="1" t="s">
        <v>60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3">
      <c r="A25" s="42">
        <v>46347</v>
      </c>
      <c r="B25" s="1">
        <v>24</v>
      </c>
      <c r="C25" s="1" t="s">
        <v>60</v>
      </c>
      <c r="D25" s="1" t="s">
        <v>2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3">
      <c r="A26" s="42">
        <v>46349</v>
      </c>
      <c r="B26" s="1">
        <v>25</v>
      </c>
      <c r="C26" s="1" t="s">
        <v>60</v>
      </c>
      <c r="D26" s="1" t="s">
        <v>89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3">
      <c r="A27" s="42">
        <v>46351</v>
      </c>
      <c r="B27" s="1">
        <v>26</v>
      </c>
      <c r="C27" s="1" t="s">
        <v>59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3">
      <c r="A28" s="42">
        <v>46353</v>
      </c>
      <c r="B28" s="1">
        <v>27</v>
      </c>
      <c r="C28" s="1" t="s">
        <v>59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89</v>
      </c>
    </row>
    <row r="29" spans="1:39" x14ac:dyDescent="0.3">
      <c r="A29" s="42">
        <v>46354</v>
      </c>
      <c r="B29" s="1">
        <v>28</v>
      </c>
      <c r="C29" s="1" t="s">
        <v>59</v>
      </c>
      <c r="D29" s="1" t="s">
        <v>14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3">
      <c r="A30" s="42">
        <v>46356</v>
      </c>
      <c r="B30" s="1">
        <v>29</v>
      </c>
      <c r="C30" s="1" t="s">
        <v>60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3">
      <c r="A31" s="42">
        <v>46358</v>
      </c>
      <c r="B31" s="1">
        <v>30</v>
      </c>
      <c r="C31" s="1" t="s">
        <v>59</v>
      </c>
      <c r="D31" s="1" t="s">
        <v>89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3">
      <c r="A32" s="42">
        <v>46361</v>
      </c>
      <c r="B32" s="1">
        <v>31</v>
      </c>
      <c r="C32" s="1" t="s">
        <v>59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3">
      <c r="A33" s="42">
        <v>46362</v>
      </c>
      <c r="B33" s="1">
        <v>32</v>
      </c>
      <c r="C33" s="1" t="s">
        <v>59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3">
      <c r="A34" s="42">
        <v>46364</v>
      </c>
      <c r="B34" s="1">
        <v>33</v>
      </c>
      <c r="C34" s="1" t="s">
        <v>60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3">
      <c r="A35" s="42">
        <v>46366</v>
      </c>
      <c r="B35" s="1">
        <v>34</v>
      </c>
      <c r="C35" s="1" t="s">
        <v>60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3">
      <c r="A36" s="42">
        <v>46368</v>
      </c>
      <c r="B36" s="1">
        <v>35</v>
      </c>
      <c r="C36" s="1" t="s">
        <v>59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3">
      <c r="A37" s="42">
        <v>46371</v>
      </c>
      <c r="B37" s="1">
        <v>36</v>
      </c>
      <c r="C37" s="1" t="s">
        <v>59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3">
      <c r="A38" s="42">
        <v>46375</v>
      </c>
      <c r="B38" s="1">
        <v>37</v>
      </c>
      <c r="C38" s="1" t="s">
        <v>60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3">
      <c r="A39" s="42">
        <v>46376</v>
      </c>
      <c r="B39" s="1">
        <v>38</v>
      </c>
      <c r="C39" s="1" t="s">
        <v>60</v>
      </c>
      <c r="D39" s="1" t="s">
        <v>22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3">
      <c r="A40" s="42">
        <v>46378</v>
      </c>
      <c r="B40" s="1">
        <v>39</v>
      </c>
      <c r="C40" s="1" t="s">
        <v>59</v>
      </c>
      <c r="D40" s="1" t="s">
        <v>15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3">
      <c r="A41" s="42">
        <v>46382</v>
      </c>
      <c r="B41" s="1">
        <v>40</v>
      </c>
      <c r="C41" s="1" t="s">
        <v>59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3">
      <c r="A42" s="42">
        <v>46384</v>
      </c>
      <c r="B42" s="1">
        <v>41</v>
      </c>
      <c r="C42" s="1" t="s">
        <v>60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3">
      <c r="A43" s="42">
        <v>46387</v>
      </c>
      <c r="B43" s="1">
        <v>42</v>
      </c>
      <c r="C43" s="1" t="s">
        <v>59</v>
      </c>
      <c r="D43" s="1" t="s">
        <v>27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3">
      <c r="A44" s="42">
        <v>46024</v>
      </c>
      <c r="B44" s="1">
        <v>43</v>
      </c>
      <c r="C44" s="1" t="s">
        <v>60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3">
      <c r="A45" s="42">
        <v>46026</v>
      </c>
      <c r="B45" s="1">
        <v>44</v>
      </c>
      <c r="C45" s="1" t="s">
        <v>59</v>
      </c>
      <c r="D45" s="1" t="s">
        <v>28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3">
      <c r="A46" s="42">
        <v>46029</v>
      </c>
      <c r="B46" s="1">
        <v>45</v>
      </c>
      <c r="C46" s="1" t="s">
        <v>60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3">
      <c r="A47" s="42">
        <v>46031</v>
      </c>
      <c r="B47" s="1">
        <v>46</v>
      </c>
      <c r="C47" s="1" t="s">
        <v>60</v>
      </c>
      <c r="D47" s="1" t="s">
        <v>89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3">
      <c r="A48" s="42">
        <v>46033</v>
      </c>
      <c r="B48" s="1">
        <v>47</v>
      </c>
      <c r="C48" s="1" t="s">
        <v>59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3">
      <c r="A49" s="42">
        <v>46036</v>
      </c>
      <c r="B49" s="1">
        <v>48</v>
      </c>
      <c r="C49" s="1" t="s">
        <v>59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3">
      <c r="A50" s="42">
        <v>46038</v>
      </c>
      <c r="B50" s="1">
        <v>49</v>
      </c>
      <c r="C50" s="1" t="s">
        <v>60</v>
      </c>
      <c r="D50" s="1" t="s">
        <v>31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3">
      <c r="A51" s="42">
        <v>46039</v>
      </c>
      <c r="B51" s="1">
        <v>50</v>
      </c>
      <c r="C51" s="1" t="s">
        <v>59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3">
      <c r="A52" s="42">
        <v>46041</v>
      </c>
      <c r="B52" s="1">
        <v>51</v>
      </c>
      <c r="C52" s="1" t="s">
        <v>60</v>
      </c>
      <c r="D52" s="1" t="s">
        <v>17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3">
      <c r="A53" s="42">
        <v>46043</v>
      </c>
      <c r="B53" s="1">
        <v>52</v>
      </c>
      <c r="C53" s="1" t="s">
        <v>60</v>
      </c>
      <c r="D53" s="1" t="s">
        <v>12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3">
      <c r="A54" s="42">
        <v>46046</v>
      </c>
      <c r="B54" s="1">
        <v>53</v>
      </c>
      <c r="C54" s="1" t="s">
        <v>60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3">
      <c r="A55" s="42">
        <v>46050</v>
      </c>
      <c r="B55" s="1">
        <v>54</v>
      </c>
      <c r="C55" s="1" t="s">
        <v>59</v>
      </c>
      <c r="D55" s="1" t="s">
        <v>23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3">
      <c r="A56" s="42">
        <v>46052</v>
      </c>
      <c r="B56" s="1">
        <v>55</v>
      </c>
      <c r="C56" s="1" t="s">
        <v>59</v>
      </c>
      <c r="D56" s="1" t="s">
        <v>10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3">
      <c r="A57" s="42">
        <v>46055</v>
      </c>
      <c r="B57" s="1">
        <v>56</v>
      </c>
      <c r="C57" s="1" t="s">
        <v>59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3">
      <c r="A58" s="42">
        <v>46056</v>
      </c>
      <c r="B58" s="1">
        <v>57</v>
      </c>
      <c r="C58" s="1" t="s">
        <v>59</v>
      </c>
      <c r="D58" s="1" t="s">
        <v>12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3">
      <c r="A59" s="42">
        <v>46066</v>
      </c>
      <c r="B59" s="1">
        <v>58</v>
      </c>
      <c r="C59" s="1" t="s">
        <v>59</v>
      </c>
      <c r="D59" s="1" t="s">
        <v>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3">
      <c r="A60" s="42">
        <v>46068</v>
      </c>
      <c r="B60" s="1">
        <v>59</v>
      </c>
      <c r="C60" s="1" t="s">
        <v>59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3">
      <c r="A61" s="42">
        <v>46070</v>
      </c>
      <c r="B61" s="1">
        <v>60</v>
      </c>
      <c r="C61" s="1" t="s">
        <v>60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3">
      <c r="A62" s="42">
        <v>46072</v>
      </c>
      <c r="B62" s="1">
        <v>61</v>
      </c>
      <c r="C62" s="1" t="s">
        <v>60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3">
      <c r="A63" s="42">
        <v>46074</v>
      </c>
      <c r="B63" s="1">
        <v>62</v>
      </c>
      <c r="C63" s="1" t="s">
        <v>60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3">
      <c r="A64" s="42">
        <v>46076</v>
      </c>
      <c r="B64" s="1">
        <v>63</v>
      </c>
      <c r="C64" s="1" t="s">
        <v>59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3">
      <c r="A65" s="42">
        <v>46078</v>
      </c>
      <c r="B65" s="1">
        <v>64</v>
      </c>
      <c r="C65" s="1" t="s">
        <v>59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3">
      <c r="A66" s="42">
        <v>46080</v>
      </c>
      <c r="B66" s="1">
        <v>65</v>
      </c>
      <c r="C66" s="1" t="s">
        <v>59</v>
      </c>
      <c r="D66" s="1" t="s">
        <v>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3">
      <c r="A67" s="42">
        <v>46082</v>
      </c>
      <c r="B67" s="1">
        <v>66</v>
      </c>
      <c r="C67" s="1" t="s">
        <v>60</v>
      </c>
      <c r="D67" s="1" t="s">
        <v>7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3">
      <c r="A68" s="42">
        <v>46086</v>
      </c>
      <c r="B68" s="1">
        <v>67</v>
      </c>
      <c r="C68" s="1" t="s">
        <v>60</v>
      </c>
      <c r="D68" s="1" t="s">
        <v>1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3">
      <c r="A69" s="42">
        <v>46088</v>
      </c>
      <c r="B69" s="1">
        <v>68</v>
      </c>
      <c r="C69" s="1" t="s">
        <v>60</v>
      </c>
      <c r="D69" s="1" t="s">
        <v>27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3">
      <c r="A70" s="42">
        <v>46090</v>
      </c>
      <c r="B70" s="1">
        <v>69</v>
      </c>
      <c r="C70" s="1" t="s">
        <v>60</v>
      </c>
      <c r="D70" s="1" t="s">
        <v>21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3">
      <c r="A71" s="42">
        <v>46092</v>
      </c>
      <c r="B71" s="1">
        <v>70</v>
      </c>
      <c r="C71" s="1" t="s">
        <v>60</v>
      </c>
      <c r="D71" s="1" t="s">
        <v>4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3">
      <c r="A72" s="42">
        <v>46094</v>
      </c>
      <c r="B72" s="1">
        <v>71</v>
      </c>
      <c r="C72" s="1" t="s">
        <v>60</v>
      </c>
      <c r="D72" s="1" t="s">
        <v>15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3">
      <c r="A73" s="42">
        <v>46096</v>
      </c>
      <c r="B73" s="1">
        <v>72</v>
      </c>
      <c r="C73" s="1" t="s">
        <v>59</v>
      </c>
      <c r="D73" s="1" t="s">
        <v>2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3">
      <c r="A74" s="42">
        <v>46097</v>
      </c>
      <c r="B74" s="1">
        <v>73</v>
      </c>
      <c r="C74" s="1" t="s">
        <v>59</v>
      </c>
      <c r="D74" s="1" t="s">
        <v>18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3">
      <c r="A75" s="42">
        <v>46099</v>
      </c>
      <c r="B75" s="1">
        <v>74</v>
      </c>
      <c r="C75" s="1" t="s">
        <v>60</v>
      </c>
      <c r="D75" s="1" t="s">
        <v>8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3">
      <c r="A76" s="42">
        <v>46101</v>
      </c>
      <c r="B76" s="1">
        <v>75</v>
      </c>
      <c r="C76" s="1" t="s">
        <v>60</v>
      </c>
      <c r="D76" s="1" t="s">
        <v>23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3">
      <c r="A77" s="42">
        <v>46104</v>
      </c>
      <c r="B77" s="1">
        <v>76</v>
      </c>
      <c r="C77" s="1" t="s">
        <v>60</v>
      </c>
      <c r="D77" s="1" t="s">
        <v>6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3">
      <c r="A78" s="42">
        <v>46106</v>
      </c>
      <c r="B78" s="1">
        <v>77</v>
      </c>
      <c r="C78" s="1" t="s">
        <v>60</v>
      </c>
      <c r="D78" s="1" t="s">
        <v>24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3">
      <c r="A79" s="42">
        <v>46108</v>
      </c>
      <c r="B79" s="1">
        <v>78</v>
      </c>
      <c r="C79" s="1" t="s">
        <v>59</v>
      </c>
      <c r="D79" s="1" t="s">
        <v>24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3">
      <c r="A80" s="42">
        <v>46112</v>
      </c>
      <c r="B80" s="1">
        <v>79</v>
      </c>
      <c r="C80" s="1" t="s">
        <v>59</v>
      </c>
      <c r="D80" s="1" t="s">
        <v>18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3">
      <c r="A81" s="42">
        <v>46115</v>
      </c>
      <c r="B81" s="1">
        <v>80</v>
      </c>
      <c r="C81" s="1" t="s">
        <v>59</v>
      </c>
      <c r="D81" s="1" t="s">
        <v>7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3">
      <c r="A82" s="42">
        <v>46117</v>
      </c>
      <c r="B82" s="1">
        <v>81</v>
      </c>
      <c r="C82" s="1" t="s">
        <v>59</v>
      </c>
      <c r="D82" s="1" t="s">
        <v>89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3">
      <c r="A83" s="42">
        <v>46119</v>
      </c>
      <c r="B83" s="1">
        <v>82</v>
      </c>
      <c r="C83" s="1" t="s">
        <v>60</v>
      </c>
      <c r="D83" s="1" t="s">
        <v>20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3">
      <c r="A84" s="42">
        <v>46121</v>
      </c>
      <c r="B84" s="1">
        <v>83</v>
      </c>
      <c r="C84" s="1" t="s">
        <v>60</v>
      </c>
      <c r="D84" s="1" t="s">
        <v>3</v>
      </c>
      <c r="I84" s="1" t="str">
        <f t="shared" ref="I84:I85" si="72">IF(E84="","",IF(E84&gt;F84,I83+1,I83))</f>
        <v/>
      </c>
      <c r="J84" s="1" t="str">
        <f t="shared" ref="J84:J85" si="73">IF(E84="","",IF(AND(F84&gt;E84,G84=$AK$2,H84=$AK$2),J83+1,J83))</f>
        <v/>
      </c>
      <c r="K84" s="1" t="str">
        <f t="shared" ref="K84:K85" si="74">IF(E84="","",IF(AND(G84=$AK$1,E84&gt;F84),K83+1,K83))</f>
        <v/>
      </c>
      <c r="L84" s="1" t="str">
        <f t="shared" ref="L84:L85" si="75">IF(E84="","",IF(AND(OR(G84=$AK$1,H84=$AK$1),E84&lt;F84),L83+1,L83))</f>
        <v/>
      </c>
      <c r="M84" s="1" t="str">
        <f t="shared" ref="M84:M85" si="76">IF(E84="","",IF(AND(H84=$AK$1,E84&gt;F84),M83+1,M83))</f>
        <v/>
      </c>
      <c r="N84" s="1" t="str">
        <f t="shared" ref="N84:N85" si="77">IF(E84="","",IF(AND(H84=$AK$1,E84&lt;F84),N83+1,N83))</f>
        <v/>
      </c>
      <c r="O84" s="1" t="str">
        <f t="shared" ref="O84:O85" si="78">IF(E84="","",IF(AND(C84=$AL$1,E84&gt;F84),O83+1,O83))</f>
        <v/>
      </c>
      <c r="P84" s="1" t="str">
        <f t="shared" ref="P84:P85" si="79">IF(E84="","",IF(AND(C84=$AL$1,F84&gt;E84,G84=$AK$2,H84=$AK$2), P83+1, P83))</f>
        <v/>
      </c>
      <c r="Q84" s="1" t="str">
        <f t="shared" ref="Q84:Q85" si="80">IF(E84="","",IF(AND(C84=$AL$1,F84&gt;E84,OR(G84=$AK$1,H84=$AK$1)),Q83+1, Q83))</f>
        <v/>
      </c>
      <c r="R84" s="1" t="str">
        <f t="shared" ref="R84:R85" si="81">IF(E84="","",IF(AND(C84=$AL$2,E84&gt;F84),R83+1,R83))</f>
        <v/>
      </c>
      <c r="S84" s="1" t="str">
        <f t="shared" ref="S84:S85" si="82">IF(E84="","",IF(AND(C84=$AL$2,F84&gt;E84,G84=$AK$2,H84=$AK$2),S83+1,S83))</f>
        <v/>
      </c>
      <c r="T84" s="1" t="str">
        <f t="shared" ref="T84:T85" si="83">IF(E84="","",IF(AND(C84=$AL$2,F84&gt;E84,OR(G84=$AK$1,H84=$AK$1)), T83+1, T83))</f>
        <v/>
      </c>
      <c r="U84" s="1" t="str">
        <f t="shared" ref="U84:U85" si="84">IF(E84="","",IF(AND(E84&gt;F84,COUNTIF($AO$1:$AO$7,D84)=1),1,0))</f>
        <v/>
      </c>
      <c r="V84" s="1" t="str">
        <f t="shared" ref="V84:V85" si="85">IF(E84="","",IF(AND(E84&lt;F84,G84=$AK$2,H84=$AK$2,COUNTIF($AO$1:$AO$7,D84)=1),1,0))</f>
        <v/>
      </c>
      <c r="W84" s="1" t="str">
        <f t="shared" ref="W84:W85" si="86">IF(E84="","",IF(AND(E84&lt;F84,COUNTIF($AO$1:$AO$7,D84)=1,OR(G84=$AK$1,H84=$AK$1)), 1, 0))</f>
        <v/>
      </c>
      <c r="X84" s="1" t="str">
        <f t="shared" ref="X84:X85" si="87">IF(E84="","",IF(AND(E84&gt;F84,COUNTIF($AN$1:$AN$15,D84)=1),X83+1,X83))</f>
        <v/>
      </c>
      <c r="Y84" s="1" t="str">
        <f t="shared" ref="Y84:Y85" si="88">IF(E84="","",IF(AND(E84&lt;F84,G84=$AK$2,H84=$AK$2,COUNTIF($AN$1:$AN$15,D84)=1),Y83+1,Y83))</f>
        <v/>
      </c>
      <c r="Z84" s="1" t="str">
        <f t="shared" ref="Z84:Z85" si="89">IF(E84="","",IF(AND(E84&lt;F84,COUNTIF($AN$1:$AN$15,D84)=1,OR(G84=$AK$1,H84=$AK$1)), Z83+1, Z83))</f>
        <v/>
      </c>
      <c r="AA84" s="1" t="str">
        <f t="shared" ref="AA84:AA85" si="90">IF(E84="","",IF(E84&gt;F84,"W","L"))</f>
        <v/>
      </c>
      <c r="AB84" s="1" t="str">
        <f t="shared" ref="AB84:AB85" si="91">IF(AA84="","",IF(AA84=AA83,AB83+1,1))</f>
        <v/>
      </c>
      <c r="AC84" s="1" t="str">
        <f t="shared" ref="AC84:AC85" si="92">IF(E84="","",IF(E84&gt;F84,"W",IF(AND(E84&lt;F84,G84=$AK$2,H84=$AK$2),"L","OTL")))</f>
        <v/>
      </c>
      <c r="AD84" s="1" t="str">
        <f t="shared" ref="AD84:AD85" si="93">IF(AC84="","",COUNTIFS(AC75:AC84,"W"))</f>
        <v/>
      </c>
      <c r="AE84" s="1" t="str">
        <f t="shared" ref="AE84:AE85" si="94">IF(AC84="","",COUNTIFS(AC75:AC84,"L"))</f>
        <v/>
      </c>
      <c r="AF84" s="1" t="str">
        <f t="shared" ref="AF84:AF85" si="95">IF(AC84="","",COUNTIFS(AC75:AC84,"OTL"))</f>
        <v/>
      </c>
      <c r="AG84" s="43"/>
    </row>
    <row r="85" spans="1:33" x14ac:dyDescent="0.3">
      <c r="A85" s="42">
        <v>46122</v>
      </c>
      <c r="B85" s="1">
        <v>84</v>
      </c>
      <c r="C85" s="1" t="s">
        <v>59</v>
      </c>
      <c r="D85" s="1" t="s">
        <v>20</v>
      </c>
      <c r="I85" s="1" t="str">
        <f t="shared" si="72"/>
        <v/>
      </c>
      <c r="J85" s="1" t="str">
        <f t="shared" si="73"/>
        <v/>
      </c>
      <c r="K85" s="1" t="str">
        <f t="shared" si="74"/>
        <v/>
      </c>
      <c r="L85" s="1" t="str">
        <f t="shared" si="75"/>
        <v/>
      </c>
      <c r="M85" s="1" t="str">
        <f t="shared" si="76"/>
        <v/>
      </c>
      <c r="N85" s="1" t="str">
        <f t="shared" si="77"/>
        <v/>
      </c>
      <c r="O85" s="1" t="str">
        <f t="shared" si="78"/>
        <v/>
      </c>
      <c r="P85" s="1" t="str">
        <f t="shared" si="79"/>
        <v/>
      </c>
      <c r="Q85" s="1" t="str">
        <f t="shared" si="80"/>
        <v/>
      </c>
      <c r="R85" s="1" t="str">
        <f t="shared" si="81"/>
        <v/>
      </c>
      <c r="S85" s="1" t="str">
        <f t="shared" si="82"/>
        <v/>
      </c>
      <c r="T85" s="1" t="str">
        <f t="shared" si="83"/>
        <v/>
      </c>
      <c r="U85" s="1" t="str">
        <f t="shared" si="84"/>
        <v/>
      </c>
      <c r="V85" s="1" t="str">
        <f t="shared" si="85"/>
        <v/>
      </c>
      <c r="W85" s="1" t="str">
        <f t="shared" si="86"/>
        <v/>
      </c>
      <c r="X85" s="1" t="str">
        <f t="shared" si="87"/>
        <v/>
      </c>
      <c r="Y85" s="1" t="str">
        <f t="shared" si="88"/>
        <v/>
      </c>
      <c r="Z85" s="1" t="str">
        <f t="shared" si="89"/>
        <v/>
      </c>
      <c r="AA85" s="1" t="str">
        <f t="shared" si="90"/>
        <v/>
      </c>
      <c r="AB85" s="1" t="str">
        <f t="shared" si="91"/>
        <v/>
      </c>
      <c r="AC85" s="1" t="str">
        <f t="shared" si="92"/>
        <v/>
      </c>
      <c r="AD85" s="1" t="str">
        <f t="shared" si="93"/>
        <v/>
      </c>
      <c r="AE85" s="1" t="str">
        <f t="shared" si="94"/>
        <v/>
      </c>
      <c r="AF85" s="1" t="str">
        <f t="shared" si="95"/>
        <v/>
      </c>
      <c r="AG85" s="43"/>
    </row>
    <row r="86" spans="1:33" x14ac:dyDescent="0.3">
      <c r="B86" s="1" t="s">
        <v>76</v>
      </c>
      <c r="C86" s="1">
        <f>COUNTIF(C1:C85,"Home")</f>
        <v>42</v>
      </c>
      <c r="E86" s="45" t="s">
        <v>75</v>
      </c>
      <c r="F86" s="45"/>
      <c r="I86" s="1">
        <f t="shared" ref="I86:N86" si="96">IF(I1="",0,MAX(I1:I85))</f>
        <v>4</v>
      </c>
      <c r="J86" s="1">
        <f t="shared" si="96"/>
        <v>1</v>
      </c>
      <c r="K86" s="1">
        <f t="shared" si="96"/>
        <v>0</v>
      </c>
      <c r="L86" s="1">
        <f t="shared" si="96"/>
        <v>2</v>
      </c>
      <c r="M86" s="1">
        <f t="shared" si="96"/>
        <v>0</v>
      </c>
      <c r="N86" s="1">
        <f t="shared" si="96"/>
        <v>0</v>
      </c>
      <c r="O86" s="1">
        <f t="shared" ref="O86:Z86" si="97">IF(O2="","",MAX(O2:O85))</f>
        <v>2</v>
      </c>
      <c r="P86" s="1">
        <f t="shared" si="97"/>
        <v>1</v>
      </c>
      <c r="Q86" s="1">
        <f t="shared" si="97"/>
        <v>1</v>
      </c>
      <c r="R86" s="1">
        <f t="shared" si="97"/>
        <v>2</v>
      </c>
      <c r="S86" s="1">
        <f t="shared" si="97"/>
        <v>0</v>
      </c>
      <c r="T86" s="1">
        <f t="shared" si="97"/>
        <v>1</v>
      </c>
      <c r="U86" s="1">
        <f t="shared" si="97"/>
        <v>1</v>
      </c>
      <c r="V86" s="1">
        <f t="shared" si="97"/>
        <v>0</v>
      </c>
      <c r="W86" s="1">
        <f t="shared" si="97"/>
        <v>1</v>
      </c>
      <c r="X86" s="1">
        <f t="shared" si="97"/>
        <v>2</v>
      </c>
      <c r="Y86" s="1">
        <f t="shared" si="97"/>
        <v>1</v>
      </c>
      <c r="Z86" s="1">
        <f t="shared" si="97"/>
        <v>1</v>
      </c>
      <c r="AA86" s="1" t="str" cm="1">
        <f t="array" ref="AA86">IF(LOOKUP(2,1 / (AA1:AA85 &lt;&gt; ""),AA1:AA85)="Streak","",LOOKUP(2,1 / (AA1:AA85 &lt;&gt; ""),AA1:AA85))</f>
        <v>L</v>
      </c>
      <c r="AB86" s="1" cm="1">
        <f t="array" ref="AB86">IF(LOOKUP(2,1 / (AB1:AB85 &lt;&gt; ""),AB1:AB85)="Length","",LOOKUP(2,1 / (AB1:AB85 &lt;&gt; ""),AB1:AB85))</f>
        <v>1</v>
      </c>
      <c r="AD86" s="1" cm="1">
        <f t="array" ref="AD86">IF(LOOKUP(2,1 / (AD1:AD85 &lt;&gt; ""),AD1:AD85)="L10 W","",LOOKUP(2,1 / (AD1:AD85 &lt;&gt; ""),AD1:AD85))</f>
        <v>4</v>
      </c>
      <c r="AE86" s="1" cm="1">
        <f t="array" ref="AE86">IF(LOOKUP(2,1 / (AE1:AE85 &lt;&gt; ""),AE1:AE85)="L10 L","",LOOKUP(2,1 / (AE1:AE85 &lt;&gt; ""),AE1:AE85))</f>
        <v>1</v>
      </c>
      <c r="AF86" s="1" cm="1">
        <f t="array" ref="AF86">IF(LOOKUP(2,1 / (AF1:AF85 &lt;&gt; ""),AF1:AF85)="L10 L","",LOOKUP(2,1 / (AF1:AF85 &lt;&gt; ""),AF1:AF85))</f>
        <v>2</v>
      </c>
    </row>
    <row r="87" spans="1:33" x14ac:dyDescent="0.3">
      <c r="C87" s="1">
        <f>COUNTIF(C1:C85,"Away")</f>
        <v>42</v>
      </c>
      <c r="E87" s="1">
        <f>SUM(E2:E85)</f>
        <v>21</v>
      </c>
      <c r="F87" s="1">
        <f>SUM(F2:F85)</f>
        <v>21</v>
      </c>
      <c r="I87" s="45" t="s">
        <v>74</v>
      </c>
      <c r="J87" s="45"/>
      <c r="K87" s="1" t="s">
        <v>73</v>
      </c>
      <c r="L87" s="1" t="s">
        <v>62</v>
      </c>
      <c r="M87" s="1" t="s">
        <v>47</v>
      </c>
      <c r="N87" s="1" t="s">
        <v>45</v>
      </c>
      <c r="O87" s="1" t="str">
        <f>IF(O86="","0-0-0",CONCATENATE(O86,"-",P86,"-",Q86))</f>
        <v>2-1-1</v>
      </c>
      <c r="R87" s="1" t="str">
        <f>IF(R86="","0-0-0",CONCATENATE(R86,"-",S86,"-",T86))</f>
        <v>2-0-1</v>
      </c>
      <c r="U87" s="1" t="str">
        <f>IF(U86="","0-0-0",CONCATENATE(U86,"-",V86,"-",W86))</f>
        <v>1-0-1</v>
      </c>
      <c r="X87" s="1" t="str">
        <f>IF(X86="","0-0-0",CONCATENATE(X86,"-",Y86,"-",Z86))</f>
        <v>2-1-1</v>
      </c>
      <c r="AA87" s="1" t="str">
        <f>IF(AA86="","0-0",CONCATENATE(AA86,AB86))</f>
        <v>L1</v>
      </c>
      <c r="AD87" s="1" t="str">
        <f>IF(AD86="","0-0-0",CONCATENATE(AD86,"-",AE86,"-",AF86))</f>
        <v>4-1-2</v>
      </c>
    </row>
    <row r="88" spans="1:33" x14ac:dyDescent="0.3">
      <c r="C88" s="1">
        <f>SUM(C86:C87)</f>
        <v>84</v>
      </c>
      <c r="D88" s="1">
        <f>COUNTA(E2:E85)</f>
        <v>7</v>
      </c>
      <c r="E88" s="1" t="s">
        <v>56</v>
      </c>
      <c r="F88" s="1" t="s">
        <v>55</v>
      </c>
      <c r="O88" s="45" t="s">
        <v>60</v>
      </c>
      <c r="P88" s="45"/>
      <c r="R88" s="45" t="s">
        <v>59</v>
      </c>
      <c r="S88" s="45"/>
      <c r="U88" s="45" t="s">
        <v>58</v>
      </c>
      <c r="V88" s="45"/>
      <c r="X88" s="45" t="s">
        <v>57</v>
      </c>
      <c r="Y88" s="45"/>
      <c r="AA88" s="45" t="s">
        <v>72</v>
      </c>
      <c r="AB88" s="45"/>
      <c r="AD88" s="1" t="s">
        <v>71</v>
      </c>
    </row>
  </sheetData>
  <mergeCells count="11">
    <mergeCell ref="AA88:AB88"/>
    <mergeCell ref="O1:Q1"/>
    <mergeCell ref="R1:T1"/>
    <mergeCell ref="U1:W1"/>
    <mergeCell ref="X1:Z1"/>
    <mergeCell ref="E86:F86"/>
    <mergeCell ref="O88:P88"/>
    <mergeCell ref="R88:S88"/>
    <mergeCell ref="U88:V88"/>
    <mergeCell ref="X88:Y88"/>
    <mergeCell ref="I87:J87"/>
  </mergeCells>
  <dataValidations count="3">
    <dataValidation type="list" allowBlank="1" showInputMessage="1" showErrorMessage="1" sqref="G2:H85" xr:uid="{00000000-0002-0000-DA00-000002000000}">
      <formula1>$AK$1:$AK$2</formula1>
    </dataValidation>
    <dataValidation type="list" allowBlank="1" showInputMessage="1" showErrorMessage="1" sqref="C2:C85" xr:uid="{00000000-0002-0000-DA00-000001000000}">
      <formula1>$AL$1:$AL$2</formula1>
    </dataValidation>
    <dataValidation type="list" allowBlank="1" showInputMessage="1" showErrorMessage="1" sqref="D2:D85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54</vt:i4>
      </vt:variant>
    </vt:vector>
  </HeadingPairs>
  <TitlesOfParts>
    <vt:vector size="54" baseType="lpstr">
      <vt:lpstr>Index</vt:lpstr>
      <vt:lpstr>Standings_Daily</vt:lpstr>
      <vt:lpstr>Standings (9-29-26)</vt:lpstr>
      <vt:lpstr>Standings (9-30-26)</vt:lpstr>
      <vt:lpstr>Standings (10-1-26)</vt:lpstr>
      <vt:lpstr>Standings (10-2-26)</vt:lpstr>
      <vt:lpstr>Standings (10-3-26)</vt:lpstr>
      <vt:lpstr>Standings (10-4-26)</vt:lpstr>
      <vt:lpstr>Standings (10-5-26)</vt:lpstr>
      <vt:lpstr>Standings (10-6-26)</vt:lpstr>
      <vt:lpstr>Standings (10-7-26)</vt:lpstr>
      <vt:lpstr>Standings (10-8-26)</vt:lpstr>
      <vt:lpstr>Standings (10-9-26)</vt:lpstr>
      <vt:lpstr>Standings (10-10-26)</vt:lpstr>
      <vt:lpstr>Standings (10-11-26)</vt:lpstr>
      <vt:lpstr>Standings (10-12-26)</vt:lpstr>
      <vt:lpstr>Standings (10-13-26)</vt:lpstr>
      <vt:lpstr>Standings (10-14-26)</vt:lpstr>
      <vt:lpstr>Standings (10-15-26)</vt:lpstr>
      <vt:lpstr>Standings (10-16-26)</vt:lpstr>
      <vt:lpstr>Standings (10-17-26)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2026-10-18T03:01:18Z</dcterms:modified>
</cp:coreProperties>
</file>